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 by PW\"/>
    </mc:Choice>
  </mc:AlternateContent>
  <xr:revisionPtr revIDLastSave="0" documentId="13_ncr:1_{BE437CC8-D04A-4BEB-B89D-C231F0A006D6}" xr6:coauthVersionLast="47" xr6:coauthVersionMax="47" xr10:uidLastSave="{00000000-0000-0000-0000-000000000000}"/>
  <bookViews>
    <workbookView xWindow="-120" yWindow="-120" windowWidth="20730" windowHeight="11160" xr2:uid="{FF6E53F1-6853-4F40-9F65-BDD32DC46D8F}"/>
  </bookViews>
  <sheets>
    <sheet name="Ans 1 to 3" sheetId="1" r:id="rId1"/>
    <sheet name="Dataset" sheetId="3" r:id="rId2"/>
  </sheets>
  <definedNames>
    <definedName name="_xlnm._FilterDatabase" localSheetId="1" hidden="1">Dataset!$A$1:$G$51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3" l="1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6" i="3"/>
  <c r="Q3" i="3" s="1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7" i="3"/>
  <c r="K2" i="3"/>
  <c r="C24" i="1"/>
  <c r="B15" i="1"/>
</calcChain>
</file>

<file path=xl/sharedStrings.xml><?xml version="1.0" encoding="utf-8"?>
<sst xmlns="http://schemas.openxmlformats.org/spreadsheetml/2006/main" count="373" uniqueCount="123">
  <si>
    <t xml:space="preserve">Q1. Explain the difference between Relative , Absolute and Mixed Cell Referencing. 
</t>
  </si>
  <si>
    <t>Example :-</t>
  </si>
  <si>
    <t>Q2 Write a formula to calculate the total sales of Car and Bicyle only only.</t>
  </si>
  <si>
    <t>Vehicle</t>
  </si>
  <si>
    <t>Price</t>
  </si>
  <si>
    <t>Car</t>
  </si>
  <si>
    <t>Bicycle</t>
  </si>
  <si>
    <t>Auto-Rickshaw</t>
  </si>
  <si>
    <t xml:space="preserve">Total sales of car and Bicycle 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</si>
  <si>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</si>
  <si>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</si>
  <si>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</si>
  <si>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</si>
  <si>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</si>
  <si>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</si>
  <si>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</si>
  <si>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</si>
  <si>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</si>
  <si>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</si>
  <si>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</si>
  <si>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</si>
  <si>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</si>
  <si>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</si>
  <si>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</si>
  <si>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</si>
  <si>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</si>
  <si>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</si>
  <si>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</si>
  <si>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</si>
  <si>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</si>
  <si>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</si>
  <si>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</si>
  <si>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</si>
  <si>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</si>
  <si>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</si>
  <si>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</si>
  <si>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</si>
  <si>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</si>
  <si>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</si>
  <si>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</si>
  <si>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</si>
  <si>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</si>
  <si>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</si>
  <si>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</si>
  <si>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</si>
  <si>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</si>
  <si>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</si>
  <si>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</si>
  <si>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</si>
  <si>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</si>
  <si>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</si>
  <si>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</si>
  <si>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</si>
  <si>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</si>
  <si>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</si>
  <si>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</si>
  <si>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</si>
  <si>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</si>
  <si>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</si>
  <si>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</si>
  <si>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</si>
  <si>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</si>
  <si>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</si>
  <si>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</si>
  <si>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</si>
  <si>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</si>
  <si>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</si>
  <si>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</si>
  <si>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</si>
  <si>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</si>
  <si>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</si>
  <si>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</si>
  <si>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</si>
  <si>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</si>
  <si>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</si>
  <si>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</si>
  <si>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</si>
  <si>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</si>
  <si>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</si>
  <si>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</si>
  <si>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</si>
  <si>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</si>
  <si>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</si>
  <si>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</si>
  <si>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</si>
  <si>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</si>
  <si>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</si>
  <si>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</si>
  <si>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</si>
  <si>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</si>
  <si>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</si>
  <si>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</si>
  <si>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</si>
  <si>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</si>
  <si>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</si>
  <si>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</si>
  <si>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</si>
  <si>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</si>
  <si>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</si>
  <si>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</si>
  <si>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</si>
  <si>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r>
      <rPr>
        <b/>
        <sz val="11"/>
        <color theme="1"/>
        <rFont val="Calibri"/>
        <family val="2"/>
        <scheme val="minor"/>
      </rPr>
      <t>Relative cell</t>
    </r>
    <r>
      <rPr>
        <sz val="11"/>
        <color theme="1"/>
        <rFont val="Calibri"/>
        <family val="2"/>
        <scheme val="minor"/>
      </rPr>
      <t xml:space="preserve"> - It is a default type of cell referencing where the the cell changes when you copy and paste it to another cell. </t>
    </r>
  </si>
  <si>
    <r>
      <rPr>
        <b/>
        <sz val="11"/>
        <color theme="1"/>
        <rFont val="Calibri"/>
        <family val="2"/>
        <scheme val="minor"/>
      </rPr>
      <t>Absolute cell</t>
    </r>
    <r>
      <rPr>
        <sz val="11"/>
        <color theme="1"/>
        <rFont val="Calibri"/>
        <family val="2"/>
        <scheme val="minor"/>
      </rPr>
      <t xml:space="preserve"> - It is used to lock both the row and column with $ sign so when you copy and paste it anywhere the refrence doesn't change.</t>
    </r>
  </si>
  <si>
    <r>
      <rPr>
        <b/>
        <sz val="11"/>
        <color theme="1"/>
        <rFont val="Calibri"/>
        <family val="2"/>
        <scheme val="minor"/>
      </rPr>
      <t>Mixed cell</t>
    </r>
    <r>
      <rPr>
        <sz val="11"/>
        <color theme="1"/>
        <rFont val="Calibri"/>
        <family val="2"/>
        <scheme val="minor"/>
      </rPr>
      <t xml:space="preserve"> - It is used to lock either row or column. When you want to change only one part, You can use $sign on row or column. </t>
    </r>
  </si>
  <si>
    <r>
      <rPr>
        <b/>
        <sz val="11"/>
        <color theme="1"/>
        <rFont val="Calibri"/>
        <family val="2"/>
        <scheme val="minor"/>
      </rPr>
      <t>Relative</t>
    </r>
    <r>
      <rPr>
        <sz val="11"/>
        <color theme="1"/>
        <rFont val="Calibri"/>
        <family val="2"/>
        <scheme val="minor"/>
      </rPr>
      <t xml:space="preserve"> -    A1    Row and column will be changed.     </t>
    </r>
    <r>
      <rPr>
        <b/>
        <sz val="11"/>
        <color theme="1"/>
        <rFont val="Calibri"/>
        <family val="2"/>
        <scheme val="minor"/>
      </rPr>
      <t>Absolute</t>
    </r>
    <r>
      <rPr>
        <sz val="11"/>
        <color theme="1"/>
        <rFont val="Calibri"/>
        <family val="2"/>
        <scheme val="minor"/>
      </rPr>
      <t xml:space="preserve"> -   $A$1  Row and column will not be changed.       </t>
    </r>
    <r>
      <rPr>
        <b/>
        <sz val="11"/>
        <color theme="1"/>
        <rFont val="Calibri"/>
        <family val="2"/>
        <scheme val="minor"/>
      </rPr>
      <t>Mixed</t>
    </r>
    <r>
      <rPr>
        <sz val="11"/>
        <color theme="1"/>
        <rFont val="Calibri"/>
        <family val="2"/>
        <scheme val="minor"/>
      </rPr>
      <t xml:space="preserve"> -    $A1 -- Row changes      ||  A$1   Column changes</t>
    </r>
  </si>
  <si>
    <t>Q3.Using the data below, write a formula to calculate the average sales of items priced above 100 but less than
300:</t>
  </si>
  <si>
    <t>Item</t>
  </si>
  <si>
    <t>Sales</t>
  </si>
  <si>
    <t>Item A</t>
  </si>
  <si>
    <t>Item B</t>
  </si>
  <si>
    <t>Item C</t>
  </si>
  <si>
    <t>Average sales of item price above 100 less than 300</t>
  </si>
  <si>
    <t>Q4. Count how many customer names are recorded.</t>
  </si>
  <si>
    <t>Ans</t>
  </si>
  <si>
    <t>Q5.Calculate the Total Sales for each row using a formula.</t>
  </si>
  <si>
    <t>ANS-</t>
  </si>
  <si>
    <t>Total Sales</t>
  </si>
  <si>
    <t>Q6. Calculate the total sales of Notebooks in the North region only.</t>
  </si>
  <si>
    <t>Total sales</t>
  </si>
  <si>
    <t>Total sales of Notebook in North region</t>
  </si>
  <si>
    <t>Q7. Create a column chart showing total sales by product.</t>
  </si>
  <si>
    <t>TOTAL SALES BY PRODUCT</t>
  </si>
  <si>
    <t xml:space="preserve">Q8. Insert a line chart showing daily sales trend.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</si>
</sst>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/>
    <xf numFmtId="0" fontId="2" fillId="0" borderId="1" xfId="0" applyFont="1" applyBorder="1" applyAlignme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14" fontId="3" fillId="0" borderId="1" xfId="0" applyNumberFormat="1" applyFont="1" applyBorder="1" applyAlignment="1">
      <alignment horizontal="right"/>
    </xf>
    <xf numFmtId="0" fontId="0" fillId="0" borderId="1" xfId="0" applyFont="1" applyBorder="1"/>
    <xf numFmtId="2" fontId="0" fillId="0" borderId="0" xfId="0" applyNumberFormat="1"/>
    <xf numFmtId="0" fontId="0" fillId="0" borderId="0" xfId="0" applyNumberFormat="1"/>
    <xf numFmtId="0" fontId="2" fillId="0" borderId="0" xfId="0" applyFont="1" applyFill="1" applyBorder="1" applyAlignment="1"/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4938757655294E-2"/>
          <c:y val="2.8194444444444446E-2"/>
          <c:w val="0.89019685039370078"/>
          <c:h val="0.4975069262175561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Dataset!$M$6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Dataset!$J$7:$J$56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Dataset!$M$7:$M$56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64-4549-AE12-4A54FE5C0C8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901688"/>
        <c:axId val="5789013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Dataset!$K$6</c15:sqref>
                        </c15:formulaRef>
                      </c:ext>
                    </c:extLst>
                    <c:strCache>
                      <c:ptCount val="1"/>
                      <c:pt idx="0">
                        <c:v>Quantity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Dataset!$J$7:$J$56</c15:sqref>
                        </c15:formulaRef>
                      </c:ext>
                    </c:extLst>
                    <c:strCache>
                      <c:ptCount val="50"/>
                      <c:pt idx="0">
                        <c:v>Notebook</c:v>
                      </c:pt>
                      <c:pt idx="1">
                        <c:v>Pen</c:v>
                      </c:pt>
                      <c:pt idx="2">
                        <c:v>Marker</c:v>
                      </c:pt>
                      <c:pt idx="3">
                        <c:v>Notebook</c:v>
                      </c:pt>
                      <c:pt idx="4">
                        <c:v>Pencil</c:v>
                      </c:pt>
                      <c:pt idx="5">
                        <c:v>Notebook</c:v>
                      </c:pt>
                      <c:pt idx="6">
                        <c:v>Eraser</c:v>
                      </c:pt>
                      <c:pt idx="7">
                        <c:v>Pen</c:v>
                      </c:pt>
                      <c:pt idx="8">
                        <c:v>Marker</c:v>
                      </c:pt>
                      <c:pt idx="9">
                        <c:v>Notebook</c:v>
                      </c:pt>
                      <c:pt idx="10">
                        <c:v>Pencil</c:v>
                      </c:pt>
                      <c:pt idx="11">
                        <c:v>Eraser</c:v>
                      </c:pt>
                      <c:pt idx="12">
                        <c:v>Notebook</c:v>
                      </c:pt>
                      <c:pt idx="13">
                        <c:v>Pen</c:v>
                      </c:pt>
                      <c:pt idx="14">
                        <c:v>Marker</c:v>
                      </c:pt>
                      <c:pt idx="15">
                        <c:v>Pencil</c:v>
                      </c:pt>
                      <c:pt idx="16">
                        <c:v>Eraser</c:v>
                      </c:pt>
                      <c:pt idx="17">
                        <c:v>Notebook</c:v>
                      </c:pt>
                      <c:pt idx="18">
                        <c:v>Pen</c:v>
                      </c:pt>
                      <c:pt idx="19">
                        <c:v>Marker</c:v>
                      </c:pt>
                      <c:pt idx="20">
                        <c:v>Notebook</c:v>
                      </c:pt>
                      <c:pt idx="21">
                        <c:v>Pencil</c:v>
                      </c:pt>
                      <c:pt idx="22">
                        <c:v>Eraser</c:v>
                      </c:pt>
                      <c:pt idx="23">
                        <c:v>Notebook</c:v>
                      </c:pt>
                      <c:pt idx="24">
                        <c:v>Pen</c:v>
                      </c:pt>
                      <c:pt idx="25">
                        <c:v>Marker</c:v>
                      </c:pt>
                      <c:pt idx="26">
                        <c:v>Pencil</c:v>
                      </c:pt>
                      <c:pt idx="27">
                        <c:v>Eraser</c:v>
                      </c:pt>
                      <c:pt idx="28">
                        <c:v>Notebook</c:v>
                      </c:pt>
                      <c:pt idx="29">
                        <c:v>Pen</c:v>
                      </c:pt>
                      <c:pt idx="30">
                        <c:v>Marker</c:v>
                      </c:pt>
                      <c:pt idx="31">
                        <c:v>Pencil</c:v>
                      </c:pt>
                      <c:pt idx="32">
                        <c:v>Eraser</c:v>
                      </c:pt>
                      <c:pt idx="33">
                        <c:v>Notebook</c:v>
                      </c:pt>
                      <c:pt idx="34">
                        <c:v>Pen</c:v>
                      </c:pt>
                      <c:pt idx="35">
                        <c:v>Marker</c:v>
                      </c:pt>
                      <c:pt idx="36">
                        <c:v>Pencil</c:v>
                      </c:pt>
                      <c:pt idx="37">
                        <c:v>Eraser</c:v>
                      </c:pt>
                      <c:pt idx="38">
                        <c:v>Notebook</c:v>
                      </c:pt>
                      <c:pt idx="39">
                        <c:v>Pen</c:v>
                      </c:pt>
                      <c:pt idx="40">
                        <c:v>Marker</c:v>
                      </c:pt>
                      <c:pt idx="41">
                        <c:v>Pencil</c:v>
                      </c:pt>
                      <c:pt idx="42">
                        <c:v>Eraser</c:v>
                      </c:pt>
                      <c:pt idx="43">
                        <c:v>Notebook</c:v>
                      </c:pt>
                      <c:pt idx="44">
                        <c:v>Pen</c:v>
                      </c:pt>
                      <c:pt idx="45">
                        <c:v>Marker</c:v>
                      </c:pt>
                      <c:pt idx="46">
                        <c:v>Pencil</c:v>
                      </c:pt>
                      <c:pt idx="47">
                        <c:v>Eraser</c:v>
                      </c:pt>
                      <c:pt idx="48">
                        <c:v>Notebook</c:v>
                      </c:pt>
                      <c:pt idx="49">
                        <c:v>Pen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Dataset!$K$7:$K$56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15</c:v>
                      </c:pt>
                      <c:pt idx="3">
                        <c:v>5</c:v>
                      </c:pt>
                      <c:pt idx="4">
                        <c:v>30</c:v>
                      </c:pt>
                      <c:pt idx="5">
                        <c:v>12</c:v>
                      </c:pt>
                      <c:pt idx="6">
                        <c:v>25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8</c:v>
                      </c:pt>
                      <c:pt idx="10">
                        <c:v>40</c:v>
                      </c:pt>
                      <c:pt idx="11">
                        <c:v>35</c:v>
                      </c:pt>
                      <c:pt idx="12">
                        <c:v>14</c:v>
                      </c:pt>
                      <c:pt idx="13">
                        <c:v>28</c:v>
                      </c:pt>
                      <c:pt idx="14">
                        <c:v>12</c:v>
                      </c:pt>
                      <c:pt idx="15">
                        <c:v>25</c:v>
                      </c:pt>
                      <c:pt idx="16">
                        <c:v>20</c:v>
                      </c:pt>
                      <c:pt idx="17">
                        <c:v>10</c:v>
                      </c:pt>
                      <c:pt idx="18">
                        <c:v>15</c:v>
                      </c:pt>
                      <c:pt idx="19">
                        <c:v>18</c:v>
                      </c:pt>
                      <c:pt idx="20">
                        <c:v>9</c:v>
                      </c:pt>
                      <c:pt idx="21">
                        <c:v>35</c:v>
                      </c:pt>
                      <c:pt idx="22">
                        <c:v>30</c:v>
                      </c:pt>
                      <c:pt idx="23">
                        <c:v>11</c:v>
                      </c:pt>
                      <c:pt idx="24">
                        <c:v>14</c:v>
                      </c:pt>
                      <c:pt idx="25">
                        <c:v>16</c:v>
                      </c:pt>
                      <c:pt idx="26">
                        <c:v>22</c:v>
                      </c:pt>
                      <c:pt idx="27">
                        <c:v>27</c:v>
                      </c:pt>
                      <c:pt idx="28">
                        <c:v>13</c:v>
                      </c:pt>
                      <c:pt idx="29">
                        <c:v>32</c:v>
                      </c:pt>
                      <c:pt idx="30">
                        <c:v>10</c:v>
                      </c:pt>
                      <c:pt idx="31">
                        <c:v>18</c:v>
                      </c:pt>
                      <c:pt idx="32">
                        <c:v>22</c:v>
                      </c:pt>
                      <c:pt idx="33">
                        <c:v>17</c:v>
                      </c:pt>
                      <c:pt idx="34">
                        <c:v>19</c:v>
                      </c:pt>
                      <c:pt idx="35">
                        <c:v>15</c:v>
                      </c:pt>
                      <c:pt idx="36">
                        <c:v>28</c:v>
                      </c:pt>
                      <c:pt idx="37">
                        <c:v>24</c:v>
                      </c:pt>
                      <c:pt idx="38">
                        <c:v>16</c:v>
                      </c:pt>
                      <c:pt idx="39">
                        <c:v>27</c:v>
                      </c:pt>
                      <c:pt idx="40">
                        <c:v>21</c:v>
                      </c:pt>
                      <c:pt idx="41">
                        <c:v>30</c:v>
                      </c:pt>
                      <c:pt idx="42">
                        <c:v>26</c:v>
                      </c:pt>
                      <c:pt idx="43">
                        <c:v>14</c:v>
                      </c:pt>
                      <c:pt idx="44">
                        <c:v>20</c:v>
                      </c:pt>
                      <c:pt idx="45">
                        <c:v>17</c:v>
                      </c:pt>
                      <c:pt idx="46">
                        <c:v>19</c:v>
                      </c:pt>
                      <c:pt idx="47">
                        <c:v>32</c:v>
                      </c:pt>
                      <c:pt idx="48">
                        <c:v>12</c:v>
                      </c:pt>
                      <c:pt idx="49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E64-4549-AE12-4A54FE5C0C8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Dataset!$L$6</c15:sqref>
                        </c15:formulaRef>
                      </c:ext>
                    </c:extLst>
                    <c:strCache>
                      <c:ptCount val="1"/>
                      <c:pt idx="0">
                        <c:v>UnitPrice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Dataset!$J$7:$J$56</c15:sqref>
                        </c15:formulaRef>
                      </c:ext>
                    </c:extLst>
                    <c:strCache>
                      <c:ptCount val="50"/>
                      <c:pt idx="0">
                        <c:v>Notebook</c:v>
                      </c:pt>
                      <c:pt idx="1">
                        <c:v>Pen</c:v>
                      </c:pt>
                      <c:pt idx="2">
                        <c:v>Marker</c:v>
                      </c:pt>
                      <c:pt idx="3">
                        <c:v>Notebook</c:v>
                      </c:pt>
                      <c:pt idx="4">
                        <c:v>Pencil</c:v>
                      </c:pt>
                      <c:pt idx="5">
                        <c:v>Notebook</c:v>
                      </c:pt>
                      <c:pt idx="6">
                        <c:v>Eraser</c:v>
                      </c:pt>
                      <c:pt idx="7">
                        <c:v>Pen</c:v>
                      </c:pt>
                      <c:pt idx="8">
                        <c:v>Marker</c:v>
                      </c:pt>
                      <c:pt idx="9">
                        <c:v>Notebook</c:v>
                      </c:pt>
                      <c:pt idx="10">
                        <c:v>Pencil</c:v>
                      </c:pt>
                      <c:pt idx="11">
                        <c:v>Eraser</c:v>
                      </c:pt>
                      <c:pt idx="12">
                        <c:v>Notebook</c:v>
                      </c:pt>
                      <c:pt idx="13">
                        <c:v>Pen</c:v>
                      </c:pt>
                      <c:pt idx="14">
                        <c:v>Marker</c:v>
                      </c:pt>
                      <c:pt idx="15">
                        <c:v>Pencil</c:v>
                      </c:pt>
                      <c:pt idx="16">
                        <c:v>Eraser</c:v>
                      </c:pt>
                      <c:pt idx="17">
                        <c:v>Notebook</c:v>
                      </c:pt>
                      <c:pt idx="18">
                        <c:v>Pen</c:v>
                      </c:pt>
                      <c:pt idx="19">
                        <c:v>Marker</c:v>
                      </c:pt>
                      <c:pt idx="20">
                        <c:v>Notebook</c:v>
                      </c:pt>
                      <c:pt idx="21">
                        <c:v>Pencil</c:v>
                      </c:pt>
                      <c:pt idx="22">
                        <c:v>Eraser</c:v>
                      </c:pt>
                      <c:pt idx="23">
                        <c:v>Notebook</c:v>
                      </c:pt>
                      <c:pt idx="24">
                        <c:v>Pen</c:v>
                      </c:pt>
                      <c:pt idx="25">
                        <c:v>Marker</c:v>
                      </c:pt>
                      <c:pt idx="26">
                        <c:v>Pencil</c:v>
                      </c:pt>
                      <c:pt idx="27">
                        <c:v>Eraser</c:v>
                      </c:pt>
                      <c:pt idx="28">
                        <c:v>Notebook</c:v>
                      </c:pt>
                      <c:pt idx="29">
                        <c:v>Pen</c:v>
                      </c:pt>
                      <c:pt idx="30">
                        <c:v>Marker</c:v>
                      </c:pt>
                      <c:pt idx="31">
                        <c:v>Pencil</c:v>
                      </c:pt>
                      <c:pt idx="32">
                        <c:v>Eraser</c:v>
                      </c:pt>
                      <c:pt idx="33">
                        <c:v>Notebook</c:v>
                      </c:pt>
                      <c:pt idx="34">
                        <c:v>Pen</c:v>
                      </c:pt>
                      <c:pt idx="35">
                        <c:v>Marker</c:v>
                      </c:pt>
                      <c:pt idx="36">
                        <c:v>Pencil</c:v>
                      </c:pt>
                      <c:pt idx="37">
                        <c:v>Eraser</c:v>
                      </c:pt>
                      <c:pt idx="38">
                        <c:v>Notebook</c:v>
                      </c:pt>
                      <c:pt idx="39">
                        <c:v>Pen</c:v>
                      </c:pt>
                      <c:pt idx="40">
                        <c:v>Marker</c:v>
                      </c:pt>
                      <c:pt idx="41">
                        <c:v>Pencil</c:v>
                      </c:pt>
                      <c:pt idx="42">
                        <c:v>Eraser</c:v>
                      </c:pt>
                      <c:pt idx="43">
                        <c:v>Notebook</c:v>
                      </c:pt>
                      <c:pt idx="44">
                        <c:v>Pen</c:v>
                      </c:pt>
                      <c:pt idx="45">
                        <c:v>Marker</c:v>
                      </c:pt>
                      <c:pt idx="46">
                        <c:v>Pencil</c:v>
                      </c:pt>
                      <c:pt idx="47">
                        <c:v>Eraser</c:v>
                      </c:pt>
                      <c:pt idx="48">
                        <c:v>Notebook</c:v>
                      </c:pt>
                      <c:pt idx="49">
                        <c:v>Pen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Dataset!$L$7:$L$56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50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  <c:pt idx="4">
                        <c:v>5</c:v>
                      </c:pt>
                      <c:pt idx="5">
                        <c:v>50</c:v>
                      </c:pt>
                      <c:pt idx="6">
                        <c:v>8</c:v>
                      </c:pt>
                      <c:pt idx="7">
                        <c:v>10</c:v>
                      </c:pt>
                      <c:pt idx="8">
                        <c:v>25</c:v>
                      </c:pt>
                      <c:pt idx="9">
                        <c:v>50</c:v>
                      </c:pt>
                      <c:pt idx="10">
                        <c:v>5</c:v>
                      </c:pt>
                      <c:pt idx="11">
                        <c:v>8</c:v>
                      </c:pt>
                      <c:pt idx="12">
                        <c:v>50</c:v>
                      </c:pt>
                      <c:pt idx="13">
                        <c:v>10</c:v>
                      </c:pt>
                      <c:pt idx="14">
                        <c:v>25</c:v>
                      </c:pt>
                      <c:pt idx="15">
                        <c:v>5</c:v>
                      </c:pt>
                      <c:pt idx="16">
                        <c:v>8</c:v>
                      </c:pt>
                      <c:pt idx="17">
                        <c:v>50</c:v>
                      </c:pt>
                      <c:pt idx="18">
                        <c:v>10</c:v>
                      </c:pt>
                      <c:pt idx="19">
                        <c:v>25</c:v>
                      </c:pt>
                      <c:pt idx="20">
                        <c:v>50</c:v>
                      </c:pt>
                      <c:pt idx="21">
                        <c:v>5</c:v>
                      </c:pt>
                      <c:pt idx="22">
                        <c:v>8</c:v>
                      </c:pt>
                      <c:pt idx="23">
                        <c:v>50</c:v>
                      </c:pt>
                      <c:pt idx="24">
                        <c:v>10</c:v>
                      </c:pt>
                      <c:pt idx="25">
                        <c:v>25</c:v>
                      </c:pt>
                      <c:pt idx="26">
                        <c:v>5</c:v>
                      </c:pt>
                      <c:pt idx="27">
                        <c:v>8</c:v>
                      </c:pt>
                      <c:pt idx="28">
                        <c:v>50</c:v>
                      </c:pt>
                      <c:pt idx="29">
                        <c:v>10</c:v>
                      </c:pt>
                      <c:pt idx="30">
                        <c:v>25</c:v>
                      </c:pt>
                      <c:pt idx="31">
                        <c:v>5</c:v>
                      </c:pt>
                      <c:pt idx="32">
                        <c:v>8</c:v>
                      </c:pt>
                      <c:pt idx="33">
                        <c:v>50</c:v>
                      </c:pt>
                      <c:pt idx="34">
                        <c:v>10</c:v>
                      </c:pt>
                      <c:pt idx="35">
                        <c:v>25</c:v>
                      </c:pt>
                      <c:pt idx="36">
                        <c:v>5</c:v>
                      </c:pt>
                      <c:pt idx="37">
                        <c:v>8</c:v>
                      </c:pt>
                      <c:pt idx="38">
                        <c:v>50</c:v>
                      </c:pt>
                      <c:pt idx="39">
                        <c:v>10</c:v>
                      </c:pt>
                      <c:pt idx="40">
                        <c:v>25</c:v>
                      </c:pt>
                      <c:pt idx="41">
                        <c:v>5</c:v>
                      </c:pt>
                      <c:pt idx="42">
                        <c:v>8</c:v>
                      </c:pt>
                      <c:pt idx="43">
                        <c:v>50</c:v>
                      </c:pt>
                      <c:pt idx="44">
                        <c:v>10</c:v>
                      </c:pt>
                      <c:pt idx="45">
                        <c:v>25</c:v>
                      </c:pt>
                      <c:pt idx="46">
                        <c:v>5</c:v>
                      </c:pt>
                      <c:pt idx="47">
                        <c:v>8</c:v>
                      </c:pt>
                      <c:pt idx="48">
                        <c:v>50</c:v>
                      </c:pt>
                      <c:pt idx="49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E64-4549-AE12-4A54FE5C0C85}"/>
                  </c:ext>
                </c:extLst>
              </c15:ser>
            </c15:filteredBarSeries>
          </c:ext>
        </c:extLst>
      </c:barChart>
      <c:catAx>
        <c:axId val="57890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01328"/>
        <c:crosses val="autoZero"/>
        <c:auto val="1"/>
        <c:lblAlgn val="ctr"/>
        <c:lblOffset val="100"/>
        <c:noMultiLvlLbl val="0"/>
      </c:catAx>
      <c:valAx>
        <c:axId val="5789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90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trend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Dataset!$G$1</c:f>
              <c:strCache>
                <c:ptCount val="1"/>
                <c:pt idx="0">
                  <c:v>OrderDate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Dataset!$G$2:$G$53</c:f>
              <c:numCache>
                <c:formatCode>m/d/yyyy</c:formatCode>
                <c:ptCount val="52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45566</c:v>
                </c:pt>
                <c:pt idx="5">
                  <c:v>45597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>
                  <c:v>45293</c:v>
                </c:pt>
                <c:pt idx="20">
                  <c:v>45324</c:v>
                </c:pt>
                <c:pt idx="21">
                  <c:v>45353</c:v>
                </c:pt>
                <c:pt idx="22">
                  <c:v>45384</c:v>
                </c:pt>
                <c:pt idx="23">
                  <c:v>45445</c:v>
                </c:pt>
                <c:pt idx="24">
                  <c:v>45475</c:v>
                </c:pt>
                <c:pt idx="25">
                  <c:v>45506</c:v>
                </c:pt>
                <c:pt idx="26">
                  <c:v>45537</c:v>
                </c:pt>
                <c:pt idx="27">
                  <c:v>45567</c:v>
                </c:pt>
                <c:pt idx="28">
                  <c:v>45628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>
                  <c:v>45294</c:v>
                </c:pt>
                <c:pt idx="43">
                  <c:v>45325</c:v>
                </c:pt>
                <c:pt idx="44">
                  <c:v>45354</c:v>
                </c:pt>
                <c:pt idx="45">
                  <c:v>45385</c:v>
                </c:pt>
                <c:pt idx="46">
                  <c:v>45415</c:v>
                </c:pt>
                <c:pt idx="47">
                  <c:v>45446</c:v>
                </c:pt>
                <c:pt idx="48">
                  <c:v>45476</c:v>
                </c:pt>
                <c:pt idx="49">
                  <c:v>45507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A3-4104-AB83-0969C34A4003}"/>
            </c:ext>
          </c:extLst>
        </c:ser>
        <c:ser>
          <c:idx val="2"/>
          <c:order val="2"/>
          <c:tx>
            <c:v>Total sales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Dataset!$M$6:$M$56</c:f>
              <c:numCache>
                <c:formatCode>General</c:formatCode>
                <c:ptCount val="51"/>
                <c:pt idx="0">
                  <c:v>0</c:v>
                </c:pt>
                <c:pt idx="1">
                  <c:v>500</c:v>
                </c:pt>
                <c:pt idx="2">
                  <c:v>200</c:v>
                </c:pt>
                <c:pt idx="3">
                  <c:v>375</c:v>
                </c:pt>
                <c:pt idx="4">
                  <c:v>250</c:v>
                </c:pt>
                <c:pt idx="5">
                  <c:v>150</c:v>
                </c:pt>
                <c:pt idx="6">
                  <c:v>600</c:v>
                </c:pt>
                <c:pt idx="7">
                  <c:v>200</c:v>
                </c:pt>
                <c:pt idx="8">
                  <c:v>180</c:v>
                </c:pt>
                <c:pt idx="9">
                  <c:v>550</c:v>
                </c:pt>
                <c:pt idx="10">
                  <c:v>400</c:v>
                </c:pt>
                <c:pt idx="11">
                  <c:v>200</c:v>
                </c:pt>
                <c:pt idx="12">
                  <c:v>280</c:v>
                </c:pt>
                <c:pt idx="13">
                  <c:v>700</c:v>
                </c:pt>
                <c:pt idx="14">
                  <c:v>280</c:v>
                </c:pt>
                <c:pt idx="15">
                  <c:v>300</c:v>
                </c:pt>
                <c:pt idx="16">
                  <c:v>125</c:v>
                </c:pt>
                <c:pt idx="17">
                  <c:v>160</c:v>
                </c:pt>
                <c:pt idx="18">
                  <c:v>500</c:v>
                </c:pt>
                <c:pt idx="19">
                  <c:v>150</c:v>
                </c:pt>
                <c:pt idx="20">
                  <c:v>450</c:v>
                </c:pt>
                <c:pt idx="21">
                  <c:v>450</c:v>
                </c:pt>
                <c:pt idx="22">
                  <c:v>175</c:v>
                </c:pt>
                <c:pt idx="23">
                  <c:v>240</c:v>
                </c:pt>
                <c:pt idx="24">
                  <c:v>550</c:v>
                </c:pt>
                <c:pt idx="25">
                  <c:v>140</c:v>
                </c:pt>
                <c:pt idx="26">
                  <c:v>400</c:v>
                </c:pt>
                <c:pt idx="27">
                  <c:v>110</c:v>
                </c:pt>
                <c:pt idx="28">
                  <c:v>216</c:v>
                </c:pt>
                <c:pt idx="29">
                  <c:v>650</c:v>
                </c:pt>
                <c:pt idx="30">
                  <c:v>320</c:v>
                </c:pt>
                <c:pt idx="31">
                  <c:v>250</c:v>
                </c:pt>
                <c:pt idx="32">
                  <c:v>90</c:v>
                </c:pt>
                <c:pt idx="33">
                  <c:v>176</c:v>
                </c:pt>
                <c:pt idx="34">
                  <c:v>850</c:v>
                </c:pt>
                <c:pt idx="35">
                  <c:v>190</c:v>
                </c:pt>
                <c:pt idx="36">
                  <c:v>375</c:v>
                </c:pt>
                <c:pt idx="37">
                  <c:v>140</c:v>
                </c:pt>
                <c:pt idx="38">
                  <c:v>192</c:v>
                </c:pt>
                <c:pt idx="39">
                  <c:v>800</c:v>
                </c:pt>
                <c:pt idx="40">
                  <c:v>270</c:v>
                </c:pt>
                <c:pt idx="41">
                  <c:v>525</c:v>
                </c:pt>
                <c:pt idx="42">
                  <c:v>150</c:v>
                </c:pt>
                <c:pt idx="43">
                  <c:v>208</c:v>
                </c:pt>
                <c:pt idx="44">
                  <c:v>700</c:v>
                </c:pt>
                <c:pt idx="45">
                  <c:v>200</c:v>
                </c:pt>
                <c:pt idx="46">
                  <c:v>425</c:v>
                </c:pt>
                <c:pt idx="47">
                  <c:v>95</c:v>
                </c:pt>
                <c:pt idx="48">
                  <c:v>256</c:v>
                </c:pt>
                <c:pt idx="49">
                  <c:v>600</c:v>
                </c:pt>
                <c:pt idx="5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A3-4104-AB83-0969C34A4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681424"/>
        <c:axId val="5766763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Dataset!$F$1</c15:sqref>
                        </c15:formulaRef>
                      </c:ext>
                    </c:extLst>
                    <c:strCache>
                      <c:ptCount val="1"/>
                      <c:pt idx="0">
                        <c:v>UnitPrice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Dataset!$F$2:$F$53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50</c:v>
                      </c:pt>
                      <c:pt idx="1">
                        <c:v>10</c:v>
                      </c:pt>
                      <c:pt idx="2">
                        <c:v>25</c:v>
                      </c:pt>
                      <c:pt idx="3">
                        <c:v>50</c:v>
                      </c:pt>
                      <c:pt idx="4">
                        <c:v>5</c:v>
                      </c:pt>
                      <c:pt idx="5">
                        <c:v>50</c:v>
                      </c:pt>
                      <c:pt idx="6">
                        <c:v>8</c:v>
                      </c:pt>
                      <c:pt idx="7">
                        <c:v>10</c:v>
                      </c:pt>
                      <c:pt idx="8">
                        <c:v>25</c:v>
                      </c:pt>
                      <c:pt idx="9">
                        <c:v>50</c:v>
                      </c:pt>
                      <c:pt idx="10">
                        <c:v>5</c:v>
                      </c:pt>
                      <c:pt idx="11">
                        <c:v>8</c:v>
                      </c:pt>
                      <c:pt idx="12">
                        <c:v>50</c:v>
                      </c:pt>
                      <c:pt idx="13">
                        <c:v>10</c:v>
                      </c:pt>
                      <c:pt idx="14">
                        <c:v>25</c:v>
                      </c:pt>
                      <c:pt idx="15">
                        <c:v>5</c:v>
                      </c:pt>
                      <c:pt idx="16">
                        <c:v>8</c:v>
                      </c:pt>
                      <c:pt idx="17">
                        <c:v>50</c:v>
                      </c:pt>
                      <c:pt idx="18">
                        <c:v>10</c:v>
                      </c:pt>
                      <c:pt idx="19">
                        <c:v>25</c:v>
                      </c:pt>
                      <c:pt idx="20">
                        <c:v>50</c:v>
                      </c:pt>
                      <c:pt idx="21">
                        <c:v>5</c:v>
                      </c:pt>
                      <c:pt idx="22">
                        <c:v>8</c:v>
                      </c:pt>
                      <c:pt idx="23">
                        <c:v>50</c:v>
                      </c:pt>
                      <c:pt idx="24">
                        <c:v>10</c:v>
                      </c:pt>
                      <c:pt idx="25">
                        <c:v>25</c:v>
                      </c:pt>
                      <c:pt idx="26">
                        <c:v>5</c:v>
                      </c:pt>
                      <c:pt idx="27">
                        <c:v>8</c:v>
                      </c:pt>
                      <c:pt idx="28">
                        <c:v>50</c:v>
                      </c:pt>
                      <c:pt idx="29">
                        <c:v>10</c:v>
                      </c:pt>
                      <c:pt idx="30">
                        <c:v>25</c:v>
                      </c:pt>
                      <c:pt idx="31">
                        <c:v>5</c:v>
                      </c:pt>
                      <c:pt idx="32">
                        <c:v>8</c:v>
                      </c:pt>
                      <c:pt idx="33">
                        <c:v>50</c:v>
                      </c:pt>
                      <c:pt idx="34">
                        <c:v>10</c:v>
                      </c:pt>
                      <c:pt idx="35">
                        <c:v>25</c:v>
                      </c:pt>
                      <c:pt idx="36">
                        <c:v>5</c:v>
                      </c:pt>
                      <c:pt idx="37">
                        <c:v>8</c:v>
                      </c:pt>
                      <c:pt idx="38">
                        <c:v>50</c:v>
                      </c:pt>
                      <c:pt idx="39">
                        <c:v>10</c:v>
                      </c:pt>
                      <c:pt idx="40">
                        <c:v>25</c:v>
                      </c:pt>
                      <c:pt idx="41">
                        <c:v>5</c:v>
                      </c:pt>
                      <c:pt idx="42">
                        <c:v>8</c:v>
                      </c:pt>
                      <c:pt idx="43">
                        <c:v>50</c:v>
                      </c:pt>
                      <c:pt idx="44">
                        <c:v>10</c:v>
                      </c:pt>
                      <c:pt idx="45">
                        <c:v>25</c:v>
                      </c:pt>
                      <c:pt idx="46">
                        <c:v>5</c:v>
                      </c:pt>
                      <c:pt idx="47">
                        <c:v>8</c:v>
                      </c:pt>
                      <c:pt idx="48">
                        <c:v>50</c:v>
                      </c:pt>
                      <c:pt idx="4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CA3-4104-AB83-0969C34A4003}"/>
                  </c:ext>
                </c:extLst>
              </c15:ser>
            </c15:filteredLineSeries>
          </c:ext>
        </c:extLst>
      </c:lineChart>
      <c:catAx>
        <c:axId val="57668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76384"/>
        <c:crosses val="autoZero"/>
        <c:auto val="1"/>
        <c:lblAlgn val="ctr"/>
        <c:lblOffset val="100"/>
        <c:noMultiLvlLbl val="0"/>
      </c:catAx>
      <c:valAx>
        <c:axId val="5766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8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590550</xdr:colOff>
      <xdr:row>2</xdr:row>
      <xdr:rowOff>14287</xdr:rowOff>
    </xdr:from>
    <xdr:to>
      <xdr:col>29</xdr:col>
      <xdr:colOff>285750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739B1-7B37-B901-2A42-D50A6512E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9525</xdr:colOff>
      <xdr:row>20</xdr:row>
      <xdr:rowOff>23812</xdr:rowOff>
    </xdr:from>
    <xdr:to>
      <xdr:col>29</xdr:col>
      <xdr:colOff>314325</xdr:colOff>
      <xdr:row>34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D28614-37F2-9B17-5D9E-C2C8DE9CA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30E8-F88C-44DD-90E6-5D3EF1B72E99}">
  <dimension ref="A1:C25"/>
  <sheetViews>
    <sheetView tabSelected="1" workbookViewId="0">
      <selection activeCell="A7" sqref="A7"/>
    </sheetView>
  </sheetViews>
  <sheetFormatPr defaultRowHeight="15" x14ac:dyDescent="0.25"/>
  <cols>
    <col min="1" max="1" width="48.5703125" customWidth="1"/>
    <col min="3" max="3" width="8.42578125" bestFit="1" customWidth="1"/>
  </cols>
  <sheetData>
    <row r="1" spans="1:2" x14ac:dyDescent="0.25">
      <c r="A1" s="6" t="s">
        <v>0</v>
      </c>
    </row>
    <row r="2" spans="1:2" x14ac:dyDescent="0.25">
      <c r="A2" s="1" t="s">
        <v>101</v>
      </c>
    </row>
    <row r="3" spans="1:2" x14ac:dyDescent="0.25">
      <c r="A3" t="s">
        <v>102</v>
      </c>
    </row>
    <row r="4" spans="1:2" x14ac:dyDescent="0.25">
      <c r="A4" t="s">
        <v>103</v>
      </c>
    </row>
    <row r="5" spans="1:2" x14ac:dyDescent="0.25">
      <c r="A5" s="3" t="s">
        <v>1</v>
      </c>
    </row>
    <row r="6" spans="1:2" x14ac:dyDescent="0.25">
      <c r="A6" s="2" t="s">
        <v>104</v>
      </c>
    </row>
    <row r="7" spans="1:2" x14ac:dyDescent="0.25">
      <c r="A7" s="2"/>
    </row>
    <row r="8" spans="1:2" x14ac:dyDescent="0.25">
      <c r="A8" s="3" t="s">
        <v>2</v>
      </c>
    </row>
    <row r="10" spans="1:2" x14ac:dyDescent="0.25">
      <c r="A10" s="4" t="s">
        <v>3</v>
      </c>
      <c r="B10" s="4" t="s">
        <v>4</v>
      </c>
    </row>
    <row r="11" spans="1:2" x14ac:dyDescent="0.25">
      <c r="A11" s="5" t="s">
        <v>5</v>
      </c>
      <c r="B11" s="5">
        <v>500000</v>
      </c>
    </row>
    <row r="12" spans="1:2" x14ac:dyDescent="0.25">
      <c r="A12" s="5" t="s">
        <v>6</v>
      </c>
      <c r="B12" s="5">
        <v>10500</v>
      </c>
    </row>
    <row r="13" spans="1:2" x14ac:dyDescent="0.25">
      <c r="A13" s="5" t="s">
        <v>7</v>
      </c>
      <c r="B13" s="5">
        <v>25000</v>
      </c>
    </row>
    <row r="15" spans="1:2" x14ac:dyDescent="0.25">
      <c r="A15" s="3" t="s">
        <v>8</v>
      </c>
      <c r="B15">
        <f>SUM(B11:B12)</f>
        <v>510500</v>
      </c>
    </row>
    <row r="17" spans="1:3" x14ac:dyDescent="0.25">
      <c r="A17" s="6" t="s">
        <v>105</v>
      </c>
    </row>
    <row r="19" spans="1:3" x14ac:dyDescent="0.25">
      <c r="A19" s="4" t="s">
        <v>106</v>
      </c>
      <c r="B19" s="4" t="s">
        <v>4</v>
      </c>
      <c r="C19" s="4" t="s">
        <v>107</v>
      </c>
    </row>
    <row r="20" spans="1:3" x14ac:dyDescent="0.25">
      <c r="A20" s="5" t="s">
        <v>108</v>
      </c>
      <c r="B20" s="5">
        <v>90</v>
      </c>
      <c r="C20" s="5">
        <v>1000</v>
      </c>
    </row>
    <row r="21" spans="1:3" x14ac:dyDescent="0.25">
      <c r="A21" s="11" t="s">
        <v>109</v>
      </c>
      <c r="B21" s="5">
        <v>150</v>
      </c>
      <c r="C21" s="5">
        <v>1200</v>
      </c>
    </row>
    <row r="22" spans="1:3" x14ac:dyDescent="0.25">
      <c r="A22" s="11" t="s">
        <v>110</v>
      </c>
      <c r="B22" s="5">
        <v>250</v>
      </c>
      <c r="C22" s="5">
        <v>1500</v>
      </c>
    </row>
    <row r="24" spans="1:3" x14ac:dyDescent="0.25">
      <c r="A24" s="3" t="s">
        <v>111</v>
      </c>
      <c r="C24" s="13">
        <f>AVERAGEIFS(C20:C22,B20:B22,"&gt;100",B20:B22,"&lt;300")</f>
        <v>1350</v>
      </c>
    </row>
    <row r="25" spans="1:3" x14ac:dyDescent="0.25">
      <c r="C2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3C34-E007-44A9-A723-531F525740B6}">
  <dimension ref="A1:W56"/>
  <sheetViews>
    <sheetView topLeftCell="F1" workbookViewId="0">
      <selection activeCell="O6" sqref="O6"/>
    </sheetView>
  </sheetViews>
  <sheetFormatPr defaultRowHeight="15" x14ac:dyDescent="0.25"/>
  <cols>
    <col min="1" max="1" width="8" bestFit="1" customWidth="1"/>
    <col min="2" max="2" width="15" bestFit="1" customWidth="1"/>
    <col min="3" max="3" width="7.140625" bestFit="1" customWidth="1"/>
    <col min="4" max="4" width="9.85546875" bestFit="1" customWidth="1"/>
    <col min="5" max="5" width="8.7109375" bestFit="1" customWidth="1"/>
    <col min="6" max="6" width="9.28515625" bestFit="1" customWidth="1"/>
    <col min="7" max="7" width="10.42578125" bestFit="1" customWidth="1"/>
  </cols>
  <sheetData>
    <row r="1" spans="1:23" x14ac:dyDescent="0.2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J1" s="14" t="s">
        <v>112</v>
      </c>
      <c r="P1" s="3" t="s">
        <v>117</v>
      </c>
      <c r="W1" s="3" t="s">
        <v>120</v>
      </c>
    </row>
    <row r="2" spans="1:23" x14ac:dyDescent="0.25">
      <c r="A2" s="8">
        <v>1001</v>
      </c>
      <c r="B2" s="9" t="s">
        <v>16</v>
      </c>
      <c r="C2" s="9" t="s">
        <v>17</v>
      </c>
      <c r="D2" s="9" t="s">
        <v>18</v>
      </c>
      <c r="E2" s="8">
        <v>10</v>
      </c>
      <c r="F2" s="8">
        <v>50</v>
      </c>
      <c r="G2" s="10">
        <v>45413</v>
      </c>
      <c r="J2" s="3" t="s">
        <v>113</v>
      </c>
      <c r="K2">
        <f>COUNTA(B:B)</f>
        <v>51</v>
      </c>
      <c r="P2" s="3" t="s">
        <v>113</v>
      </c>
      <c r="W2" s="3" t="s">
        <v>121</v>
      </c>
    </row>
    <row r="3" spans="1:23" x14ac:dyDescent="0.25">
      <c r="A3" s="8">
        <v>1002</v>
      </c>
      <c r="B3" s="9" t="s">
        <v>19</v>
      </c>
      <c r="C3" s="9" t="s">
        <v>20</v>
      </c>
      <c r="D3" s="9" t="s">
        <v>21</v>
      </c>
      <c r="E3" s="8">
        <v>20</v>
      </c>
      <c r="F3" s="8">
        <v>10</v>
      </c>
      <c r="G3" s="10">
        <v>45444</v>
      </c>
      <c r="P3" s="3" t="s">
        <v>119</v>
      </c>
      <c r="Q3">
        <f>SUMIFS(T5:T55,P5:P55,"North",Q5:Q55,"Notebook")</f>
        <v>2900</v>
      </c>
    </row>
    <row r="4" spans="1:23" x14ac:dyDescent="0.25">
      <c r="A4" s="8">
        <v>1003</v>
      </c>
      <c r="B4" s="9" t="s">
        <v>22</v>
      </c>
      <c r="C4" s="9" t="s">
        <v>23</v>
      </c>
      <c r="D4" s="9" t="s">
        <v>24</v>
      </c>
      <c r="E4" s="8">
        <v>15</v>
      </c>
      <c r="F4" s="8">
        <v>25</v>
      </c>
      <c r="G4" s="10">
        <v>45474</v>
      </c>
      <c r="J4" s="3" t="s">
        <v>114</v>
      </c>
    </row>
    <row r="5" spans="1:23" x14ac:dyDescent="0.25">
      <c r="A5" s="8">
        <v>1004</v>
      </c>
      <c r="B5" s="9" t="s">
        <v>25</v>
      </c>
      <c r="C5" s="9" t="s">
        <v>26</v>
      </c>
      <c r="D5" s="9" t="s">
        <v>18</v>
      </c>
      <c r="E5" s="8">
        <v>5</v>
      </c>
      <c r="F5" s="8">
        <v>50</v>
      </c>
      <c r="G5" s="10">
        <v>45505</v>
      </c>
      <c r="J5" s="3" t="s">
        <v>115</v>
      </c>
      <c r="P5" s="7" t="s">
        <v>11</v>
      </c>
      <c r="Q5" s="7" t="s">
        <v>12</v>
      </c>
      <c r="R5" s="7" t="s">
        <v>13</v>
      </c>
      <c r="S5" s="7" t="s">
        <v>14</v>
      </c>
      <c r="T5" s="15" t="s">
        <v>118</v>
      </c>
    </row>
    <row r="6" spans="1:23" x14ac:dyDescent="0.25">
      <c r="A6" s="8">
        <v>1005</v>
      </c>
      <c r="B6" s="9" t="s">
        <v>27</v>
      </c>
      <c r="C6" s="9" t="s">
        <v>17</v>
      </c>
      <c r="D6" s="9" t="s">
        <v>28</v>
      </c>
      <c r="E6" s="8">
        <v>30</v>
      </c>
      <c r="F6" s="8">
        <v>5</v>
      </c>
      <c r="G6" s="10">
        <v>45566</v>
      </c>
      <c r="J6" s="7" t="s">
        <v>12</v>
      </c>
      <c r="K6" s="7" t="s">
        <v>13</v>
      </c>
      <c r="L6" s="7" t="s">
        <v>14</v>
      </c>
      <c r="M6" s="15" t="s">
        <v>116</v>
      </c>
      <c r="P6" s="9" t="s">
        <v>17</v>
      </c>
      <c r="Q6" s="9" t="s">
        <v>18</v>
      </c>
      <c r="R6" s="8">
        <v>10</v>
      </c>
      <c r="S6" s="8">
        <v>50</v>
      </c>
      <c r="T6" s="5">
        <f>PRODUCT(R6:S6)</f>
        <v>500</v>
      </c>
    </row>
    <row r="7" spans="1:23" x14ac:dyDescent="0.25">
      <c r="A7" s="8">
        <v>1006</v>
      </c>
      <c r="B7" s="9" t="s">
        <v>29</v>
      </c>
      <c r="C7" s="9" t="s">
        <v>20</v>
      </c>
      <c r="D7" s="9" t="s">
        <v>18</v>
      </c>
      <c r="E7" s="8">
        <v>12</v>
      </c>
      <c r="F7" s="8">
        <v>50</v>
      </c>
      <c r="G7" s="10">
        <v>45597</v>
      </c>
      <c r="J7" s="9" t="s">
        <v>18</v>
      </c>
      <c r="K7" s="8">
        <v>10</v>
      </c>
      <c r="L7" s="8">
        <v>50</v>
      </c>
      <c r="M7" s="5">
        <f>PRODUCT(K7:L7)</f>
        <v>500</v>
      </c>
      <c r="P7" s="9" t="s">
        <v>20</v>
      </c>
      <c r="Q7" s="9" t="s">
        <v>21</v>
      </c>
      <c r="R7" s="8">
        <v>20</v>
      </c>
      <c r="S7" s="8">
        <v>10</v>
      </c>
      <c r="T7" s="5">
        <f t="shared" ref="T7:T55" si="0">PRODUCT(R7:S7)</f>
        <v>200</v>
      </c>
    </row>
    <row r="8" spans="1:23" x14ac:dyDescent="0.25">
      <c r="A8" s="8">
        <v>1007</v>
      </c>
      <c r="B8" s="9" t="s">
        <v>30</v>
      </c>
      <c r="C8" s="9" t="s">
        <v>23</v>
      </c>
      <c r="D8" s="9" t="s">
        <v>31</v>
      </c>
      <c r="E8" s="8">
        <v>25</v>
      </c>
      <c r="F8" s="8">
        <v>8</v>
      </c>
      <c r="G8" s="8" t="s">
        <v>32</v>
      </c>
      <c r="J8" s="9" t="s">
        <v>21</v>
      </c>
      <c r="K8" s="8">
        <v>20</v>
      </c>
      <c r="L8" s="8">
        <v>10</v>
      </c>
      <c r="M8" s="5">
        <f t="shared" ref="M8:M56" si="1">PRODUCT(K8:L8)</f>
        <v>200</v>
      </c>
      <c r="P8" s="9" t="s">
        <v>23</v>
      </c>
      <c r="Q8" s="9" t="s">
        <v>24</v>
      </c>
      <c r="R8" s="8">
        <v>15</v>
      </c>
      <c r="S8" s="8">
        <v>25</v>
      </c>
      <c r="T8" s="5">
        <f t="shared" si="0"/>
        <v>375</v>
      </c>
    </row>
    <row r="9" spans="1:23" x14ac:dyDescent="0.25">
      <c r="A9" s="8">
        <v>1008</v>
      </c>
      <c r="B9" s="9" t="s">
        <v>33</v>
      </c>
      <c r="C9" s="9" t="s">
        <v>26</v>
      </c>
      <c r="D9" s="9" t="s">
        <v>21</v>
      </c>
      <c r="E9" s="8">
        <v>18</v>
      </c>
      <c r="F9" s="8">
        <v>10</v>
      </c>
      <c r="G9" s="8" t="s">
        <v>34</v>
      </c>
      <c r="J9" s="9" t="s">
        <v>24</v>
      </c>
      <c r="K9" s="8">
        <v>15</v>
      </c>
      <c r="L9" s="8">
        <v>25</v>
      </c>
      <c r="M9" s="5">
        <f t="shared" si="1"/>
        <v>375</v>
      </c>
      <c r="P9" s="9" t="s">
        <v>26</v>
      </c>
      <c r="Q9" s="9" t="s">
        <v>18</v>
      </c>
      <c r="R9" s="8">
        <v>5</v>
      </c>
      <c r="S9" s="8">
        <v>50</v>
      </c>
      <c r="T9" s="5">
        <f t="shared" si="0"/>
        <v>250</v>
      </c>
    </row>
    <row r="10" spans="1:23" x14ac:dyDescent="0.25">
      <c r="A10" s="8">
        <v>1009</v>
      </c>
      <c r="B10" s="9" t="s">
        <v>35</v>
      </c>
      <c r="C10" s="9" t="s">
        <v>17</v>
      </c>
      <c r="D10" s="9" t="s">
        <v>24</v>
      </c>
      <c r="E10" s="8">
        <v>22</v>
      </c>
      <c r="F10" s="8">
        <v>25</v>
      </c>
      <c r="G10" s="8" t="s">
        <v>36</v>
      </c>
      <c r="J10" s="9" t="s">
        <v>18</v>
      </c>
      <c r="K10" s="8">
        <v>5</v>
      </c>
      <c r="L10" s="8">
        <v>50</v>
      </c>
      <c r="M10" s="5">
        <f t="shared" si="1"/>
        <v>250</v>
      </c>
      <c r="P10" s="9" t="s">
        <v>17</v>
      </c>
      <c r="Q10" s="9" t="s">
        <v>28</v>
      </c>
      <c r="R10" s="8">
        <v>30</v>
      </c>
      <c r="S10" s="8">
        <v>5</v>
      </c>
      <c r="T10" s="5">
        <f t="shared" si="0"/>
        <v>150</v>
      </c>
    </row>
    <row r="11" spans="1:23" x14ac:dyDescent="0.25">
      <c r="A11" s="8">
        <v>1010</v>
      </c>
      <c r="B11" s="9" t="s">
        <v>37</v>
      </c>
      <c r="C11" s="9" t="s">
        <v>20</v>
      </c>
      <c r="D11" s="9" t="s">
        <v>18</v>
      </c>
      <c r="E11" s="8">
        <v>8</v>
      </c>
      <c r="F11" s="8">
        <v>50</v>
      </c>
      <c r="G11" s="8" t="s">
        <v>38</v>
      </c>
      <c r="J11" s="9" t="s">
        <v>28</v>
      </c>
      <c r="K11" s="8">
        <v>30</v>
      </c>
      <c r="L11" s="8">
        <v>5</v>
      </c>
      <c r="M11" s="5">
        <f t="shared" si="1"/>
        <v>150</v>
      </c>
      <c r="P11" s="9" t="s">
        <v>20</v>
      </c>
      <c r="Q11" s="9" t="s">
        <v>18</v>
      </c>
      <c r="R11" s="8">
        <v>12</v>
      </c>
      <c r="S11" s="8">
        <v>50</v>
      </c>
      <c r="T11" s="5">
        <f t="shared" si="0"/>
        <v>600</v>
      </c>
    </row>
    <row r="12" spans="1:23" x14ac:dyDescent="0.25">
      <c r="A12" s="8">
        <v>1011</v>
      </c>
      <c r="B12" s="9" t="s">
        <v>39</v>
      </c>
      <c r="C12" s="9" t="s">
        <v>23</v>
      </c>
      <c r="D12" s="9" t="s">
        <v>28</v>
      </c>
      <c r="E12" s="8">
        <v>40</v>
      </c>
      <c r="F12" s="8">
        <v>5</v>
      </c>
      <c r="G12" s="8" t="s">
        <v>40</v>
      </c>
      <c r="J12" s="9" t="s">
        <v>18</v>
      </c>
      <c r="K12" s="8">
        <v>12</v>
      </c>
      <c r="L12" s="8">
        <v>50</v>
      </c>
      <c r="M12" s="5">
        <f t="shared" si="1"/>
        <v>600</v>
      </c>
      <c r="P12" s="9" t="s">
        <v>23</v>
      </c>
      <c r="Q12" s="9" t="s">
        <v>31</v>
      </c>
      <c r="R12" s="8">
        <v>25</v>
      </c>
      <c r="S12" s="8">
        <v>8</v>
      </c>
      <c r="T12" s="5">
        <f t="shared" si="0"/>
        <v>200</v>
      </c>
    </row>
    <row r="13" spans="1:23" x14ac:dyDescent="0.25">
      <c r="A13" s="8">
        <v>1012</v>
      </c>
      <c r="B13" s="9" t="s">
        <v>41</v>
      </c>
      <c r="C13" s="9" t="s">
        <v>26</v>
      </c>
      <c r="D13" s="9" t="s">
        <v>31</v>
      </c>
      <c r="E13" s="8">
        <v>35</v>
      </c>
      <c r="F13" s="8">
        <v>8</v>
      </c>
      <c r="G13" s="8" t="s">
        <v>42</v>
      </c>
      <c r="J13" s="9" t="s">
        <v>31</v>
      </c>
      <c r="K13" s="8">
        <v>25</v>
      </c>
      <c r="L13" s="8">
        <v>8</v>
      </c>
      <c r="M13" s="5">
        <f t="shared" si="1"/>
        <v>200</v>
      </c>
      <c r="P13" s="9" t="s">
        <v>26</v>
      </c>
      <c r="Q13" s="9" t="s">
        <v>21</v>
      </c>
      <c r="R13" s="8">
        <v>18</v>
      </c>
      <c r="S13" s="8">
        <v>10</v>
      </c>
      <c r="T13" s="5">
        <f t="shared" si="0"/>
        <v>180</v>
      </c>
    </row>
    <row r="14" spans="1:23" x14ac:dyDescent="0.25">
      <c r="A14" s="8">
        <v>1013</v>
      </c>
      <c r="B14" s="9" t="s">
        <v>43</v>
      </c>
      <c r="C14" s="9" t="s">
        <v>17</v>
      </c>
      <c r="D14" s="9" t="s">
        <v>18</v>
      </c>
      <c r="E14" s="8">
        <v>14</v>
      </c>
      <c r="F14" s="8">
        <v>50</v>
      </c>
      <c r="G14" s="8" t="s">
        <v>44</v>
      </c>
      <c r="J14" s="9" t="s">
        <v>21</v>
      </c>
      <c r="K14" s="8">
        <v>18</v>
      </c>
      <c r="L14" s="8">
        <v>10</v>
      </c>
      <c r="M14" s="5">
        <f t="shared" si="1"/>
        <v>180</v>
      </c>
      <c r="P14" s="9" t="s">
        <v>17</v>
      </c>
      <c r="Q14" s="9" t="s">
        <v>24</v>
      </c>
      <c r="R14" s="8">
        <v>22</v>
      </c>
      <c r="S14" s="8">
        <v>25</v>
      </c>
      <c r="T14" s="5">
        <f t="shared" si="0"/>
        <v>550</v>
      </c>
    </row>
    <row r="15" spans="1:23" x14ac:dyDescent="0.25">
      <c r="A15" s="8">
        <v>1014</v>
      </c>
      <c r="B15" s="9" t="s">
        <v>45</v>
      </c>
      <c r="C15" s="9" t="s">
        <v>20</v>
      </c>
      <c r="D15" s="9" t="s">
        <v>21</v>
      </c>
      <c r="E15" s="8">
        <v>28</v>
      </c>
      <c r="F15" s="8">
        <v>10</v>
      </c>
      <c r="G15" s="8" t="s">
        <v>46</v>
      </c>
      <c r="J15" s="9" t="s">
        <v>24</v>
      </c>
      <c r="K15" s="8">
        <v>22</v>
      </c>
      <c r="L15" s="8">
        <v>25</v>
      </c>
      <c r="M15" s="5">
        <f t="shared" si="1"/>
        <v>550</v>
      </c>
      <c r="P15" s="9" t="s">
        <v>20</v>
      </c>
      <c r="Q15" s="9" t="s">
        <v>18</v>
      </c>
      <c r="R15" s="8">
        <v>8</v>
      </c>
      <c r="S15" s="8">
        <v>50</v>
      </c>
      <c r="T15" s="5">
        <f t="shared" si="0"/>
        <v>400</v>
      </c>
    </row>
    <row r="16" spans="1:23" x14ac:dyDescent="0.25">
      <c r="A16" s="8">
        <v>1015</v>
      </c>
      <c r="B16" s="9" t="s">
        <v>47</v>
      </c>
      <c r="C16" s="9" t="s">
        <v>23</v>
      </c>
      <c r="D16" s="9" t="s">
        <v>24</v>
      </c>
      <c r="E16" s="8">
        <v>12</v>
      </c>
      <c r="F16" s="8">
        <v>25</v>
      </c>
      <c r="G16" s="8" t="s">
        <v>48</v>
      </c>
      <c r="J16" s="9" t="s">
        <v>18</v>
      </c>
      <c r="K16" s="8">
        <v>8</v>
      </c>
      <c r="L16" s="8">
        <v>50</v>
      </c>
      <c r="M16" s="5">
        <f t="shared" si="1"/>
        <v>400</v>
      </c>
      <c r="P16" s="9" t="s">
        <v>23</v>
      </c>
      <c r="Q16" s="9" t="s">
        <v>28</v>
      </c>
      <c r="R16" s="8">
        <v>40</v>
      </c>
      <c r="S16" s="8">
        <v>5</v>
      </c>
      <c r="T16" s="5">
        <f t="shared" si="0"/>
        <v>200</v>
      </c>
    </row>
    <row r="17" spans="1:23" x14ac:dyDescent="0.25">
      <c r="A17" s="8">
        <v>1016</v>
      </c>
      <c r="B17" s="9" t="s">
        <v>49</v>
      </c>
      <c r="C17" s="9" t="s">
        <v>26</v>
      </c>
      <c r="D17" s="9" t="s">
        <v>28</v>
      </c>
      <c r="E17" s="8">
        <v>25</v>
      </c>
      <c r="F17" s="8">
        <v>5</v>
      </c>
      <c r="G17" s="8" t="s">
        <v>50</v>
      </c>
      <c r="J17" s="9" t="s">
        <v>28</v>
      </c>
      <c r="K17" s="8">
        <v>40</v>
      </c>
      <c r="L17" s="8">
        <v>5</v>
      </c>
      <c r="M17" s="5">
        <f t="shared" si="1"/>
        <v>200</v>
      </c>
      <c r="P17" s="9" t="s">
        <v>26</v>
      </c>
      <c r="Q17" s="9" t="s">
        <v>31</v>
      </c>
      <c r="R17" s="8">
        <v>35</v>
      </c>
      <c r="S17" s="8">
        <v>8</v>
      </c>
      <c r="T17" s="5">
        <f t="shared" si="0"/>
        <v>280</v>
      </c>
    </row>
    <row r="18" spans="1:23" x14ac:dyDescent="0.25">
      <c r="A18" s="8">
        <v>1017</v>
      </c>
      <c r="B18" s="9" t="s">
        <v>51</v>
      </c>
      <c r="C18" s="9" t="s">
        <v>17</v>
      </c>
      <c r="D18" s="9" t="s">
        <v>31</v>
      </c>
      <c r="E18" s="8">
        <v>20</v>
      </c>
      <c r="F18" s="8">
        <v>8</v>
      </c>
      <c r="G18" s="8" t="s">
        <v>52</v>
      </c>
      <c r="J18" s="9" t="s">
        <v>31</v>
      </c>
      <c r="K18" s="8">
        <v>35</v>
      </c>
      <c r="L18" s="8">
        <v>8</v>
      </c>
      <c r="M18" s="5">
        <f t="shared" si="1"/>
        <v>280</v>
      </c>
      <c r="P18" s="9" t="s">
        <v>17</v>
      </c>
      <c r="Q18" s="9" t="s">
        <v>18</v>
      </c>
      <c r="R18" s="8">
        <v>14</v>
      </c>
      <c r="S18" s="8">
        <v>50</v>
      </c>
      <c r="T18" s="5">
        <f t="shared" si="0"/>
        <v>700</v>
      </c>
    </row>
    <row r="19" spans="1:23" x14ac:dyDescent="0.25">
      <c r="A19" s="8">
        <v>1018</v>
      </c>
      <c r="B19" s="9" t="s">
        <v>53</v>
      </c>
      <c r="C19" s="9" t="s">
        <v>20</v>
      </c>
      <c r="D19" s="9" t="s">
        <v>18</v>
      </c>
      <c r="E19" s="8">
        <v>10</v>
      </c>
      <c r="F19" s="8">
        <v>50</v>
      </c>
      <c r="G19" s="8" t="s">
        <v>54</v>
      </c>
      <c r="J19" s="9" t="s">
        <v>18</v>
      </c>
      <c r="K19" s="8">
        <v>14</v>
      </c>
      <c r="L19" s="8">
        <v>50</v>
      </c>
      <c r="M19" s="5">
        <f t="shared" si="1"/>
        <v>700</v>
      </c>
      <c r="P19" s="9" t="s">
        <v>20</v>
      </c>
      <c r="Q19" s="9" t="s">
        <v>21</v>
      </c>
      <c r="R19" s="8">
        <v>28</v>
      </c>
      <c r="S19" s="8">
        <v>10</v>
      </c>
      <c r="T19" s="5">
        <f t="shared" si="0"/>
        <v>280</v>
      </c>
      <c r="W19" s="6" t="s">
        <v>122</v>
      </c>
    </row>
    <row r="20" spans="1:23" x14ac:dyDescent="0.25">
      <c r="A20" s="8">
        <v>1019</v>
      </c>
      <c r="B20" s="9" t="s">
        <v>55</v>
      </c>
      <c r="C20" s="9" t="s">
        <v>23</v>
      </c>
      <c r="D20" s="9" t="s">
        <v>21</v>
      </c>
      <c r="E20" s="8">
        <v>15</v>
      </c>
      <c r="F20" s="8">
        <v>10</v>
      </c>
      <c r="G20" s="8" t="s">
        <v>56</v>
      </c>
      <c r="J20" s="9" t="s">
        <v>21</v>
      </c>
      <c r="K20" s="8">
        <v>28</v>
      </c>
      <c r="L20" s="8">
        <v>10</v>
      </c>
      <c r="M20" s="5">
        <f t="shared" si="1"/>
        <v>280</v>
      </c>
      <c r="P20" s="9" t="s">
        <v>23</v>
      </c>
      <c r="Q20" s="9" t="s">
        <v>24</v>
      </c>
      <c r="R20" s="8">
        <v>12</v>
      </c>
      <c r="S20" s="8">
        <v>25</v>
      </c>
      <c r="T20" s="5">
        <f t="shared" si="0"/>
        <v>300</v>
      </c>
    </row>
    <row r="21" spans="1:23" x14ac:dyDescent="0.25">
      <c r="A21" s="8">
        <v>1020</v>
      </c>
      <c r="B21" s="9" t="s">
        <v>57</v>
      </c>
      <c r="C21" s="9" t="s">
        <v>26</v>
      </c>
      <c r="D21" s="9" t="s">
        <v>24</v>
      </c>
      <c r="E21" s="8">
        <v>18</v>
      </c>
      <c r="F21" s="8">
        <v>25</v>
      </c>
      <c r="G21" s="10">
        <v>45293</v>
      </c>
      <c r="J21" s="9" t="s">
        <v>24</v>
      </c>
      <c r="K21" s="8">
        <v>12</v>
      </c>
      <c r="L21" s="8">
        <v>25</v>
      </c>
      <c r="M21" s="5">
        <f t="shared" si="1"/>
        <v>300</v>
      </c>
      <c r="P21" s="9" t="s">
        <v>26</v>
      </c>
      <c r="Q21" s="9" t="s">
        <v>28</v>
      </c>
      <c r="R21" s="8">
        <v>25</v>
      </c>
      <c r="S21" s="8">
        <v>5</v>
      </c>
      <c r="T21" s="5">
        <f t="shared" si="0"/>
        <v>125</v>
      </c>
    </row>
    <row r="22" spans="1:23" x14ac:dyDescent="0.25">
      <c r="A22" s="8">
        <v>1021</v>
      </c>
      <c r="B22" s="9" t="s">
        <v>58</v>
      </c>
      <c r="C22" s="9" t="s">
        <v>17</v>
      </c>
      <c r="D22" s="9" t="s">
        <v>18</v>
      </c>
      <c r="E22" s="8">
        <v>9</v>
      </c>
      <c r="F22" s="8">
        <v>50</v>
      </c>
      <c r="G22" s="10">
        <v>45324</v>
      </c>
      <c r="J22" s="9" t="s">
        <v>28</v>
      </c>
      <c r="K22" s="8">
        <v>25</v>
      </c>
      <c r="L22" s="8">
        <v>5</v>
      </c>
      <c r="M22" s="5">
        <f t="shared" si="1"/>
        <v>125</v>
      </c>
      <c r="P22" s="9" t="s">
        <v>17</v>
      </c>
      <c r="Q22" s="9" t="s">
        <v>31</v>
      </c>
      <c r="R22" s="8">
        <v>20</v>
      </c>
      <c r="S22" s="8">
        <v>8</v>
      </c>
      <c r="T22" s="5">
        <f t="shared" si="0"/>
        <v>160</v>
      </c>
    </row>
    <row r="23" spans="1:23" x14ac:dyDescent="0.25">
      <c r="A23" s="8">
        <v>1022</v>
      </c>
      <c r="B23" s="9" t="s">
        <v>59</v>
      </c>
      <c r="C23" s="9" t="s">
        <v>20</v>
      </c>
      <c r="D23" s="9" t="s">
        <v>28</v>
      </c>
      <c r="E23" s="8">
        <v>35</v>
      </c>
      <c r="F23" s="8">
        <v>5</v>
      </c>
      <c r="G23" s="10">
        <v>45353</v>
      </c>
      <c r="J23" s="9" t="s">
        <v>31</v>
      </c>
      <c r="K23" s="8">
        <v>20</v>
      </c>
      <c r="L23" s="8">
        <v>8</v>
      </c>
      <c r="M23" s="5">
        <f t="shared" si="1"/>
        <v>160</v>
      </c>
      <c r="P23" s="9" t="s">
        <v>20</v>
      </c>
      <c r="Q23" s="9" t="s">
        <v>18</v>
      </c>
      <c r="R23" s="8">
        <v>10</v>
      </c>
      <c r="S23" s="8">
        <v>50</v>
      </c>
      <c r="T23" s="5">
        <f t="shared" si="0"/>
        <v>500</v>
      </c>
    </row>
    <row r="24" spans="1:23" x14ac:dyDescent="0.25">
      <c r="A24" s="8">
        <v>1023</v>
      </c>
      <c r="B24" s="9" t="s">
        <v>60</v>
      </c>
      <c r="C24" s="9" t="s">
        <v>23</v>
      </c>
      <c r="D24" s="9" t="s">
        <v>31</v>
      </c>
      <c r="E24" s="8">
        <v>30</v>
      </c>
      <c r="F24" s="8">
        <v>8</v>
      </c>
      <c r="G24" s="10">
        <v>45384</v>
      </c>
      <c r="J24" s="9" t="s">
        <v>18</v>
      </c>
      <c r="K24" s="8">
        <v>10</v>
      </c>
      <c r="L24" s="8">
        <v>50</v>
      </c>
      <c r="M24" s="5">
        <f t="shared" si="1"/>
        <v>500</v>
      </c>
      <c r="P24" s="9" t="s">
        <v>23</v>
      </c>
      <c r="Q24" s="9" t="s">
        <v>21</v>
      </c>
      <c r="R24" s="8">
        <v>15</v>
      </c>
      <c r="S24" s="8">
        <v>10</v>
      </c>
      <c r="T24" s="5">
        <f t="shared" si="0"/>
        <v>150</v>
      </c>
    </row>
    <row r="25" spans="1:23" x14ac:dyDescent="0.25">
      <c r="A25" s="8">
        <v>1024</v>
      </c>
      <c r="B25" s="9" t="s">
        <v>61</v>
      </c>
      <c r="C25" s="9" t="s">
        <v>26</v>
      </c>
      <c r="D25" s="9" t="s">
        <v>18</v>
      </c>
      <c r="E25" s="8">
        <v>11</v>
      </c>
      <c r="F25" s="8">
        <v>50</v>
      </c>
      <c r="G25" s="10">
        <v>45445</v>
      </c>
      <c r="J25" s="9" t="s">
        <v>21</v>
      </c>
      <c r="K25" s="8">
        <v>15</v>
      </c>
      <c r="L25" s="8">
        <v>10</v>
      </c>
      <c r="M25" s="5">
        <f t="shared" si="1"/>
        <v>150</v>
      </c>
      <c r="P25" s="9" t="s">
        <v>26</v>
      </c>
      <c r="Q25" s="9" t="s">
        <v>24</v>
      </c>
      <c r="R25" s="8">
        <v>18</v>
      </c>
      <c r="S25" s="8">
        <v>25</v>
      </c>
      <c r="T25" s="5">
        <f t="shared" si="0"/>
        <v>450</v>
      </c>
    </row>
    <row r="26" spans="1:23" x14ac:dyDescent="0.25">
      <c r="A26" s="8">
        <v>1025</v>
      </c>
      <c r="B26" s="9" t="s">
        <v>62</v>
      </c>
      <c r="C26" s="9" t="s">
        <v>17</v>
      </c>
      <c r="D26" s="9" t="s">
        <v>21</v>
      </c>
      <c r="E26" s="8">
        <v>14</v>
      </c>
      <c r="F26" s="8">
        <v>10</v>
      </c>
      <c r="G26" s="10">
        <v>45475</v>
      </c>
      <c r="J26" s="9" t="s">
        <v>24</v>
      </c>
      <c r="K26" s="8">
        <v>18</v>
      </c>
      <c r="L26" s="8">
        <v>25</v>
      </c>
      <c r="M26" s="5">
        <f t="shared" si="1"/>
        <v>450</v>
      </c>
      <c r="P26" s="9" t="s">
        <v>17</v>
      </c>
      <c r="Q26" s="9" t="s">
        <v>18</v>
      </c>
      <c r="R26" s="8">
        <v>9</v>
      </c>
      <c r="S26" s="8">
        <v>50</v>
      </c>
      <c r="T26" s="5">
        <f t="shared" si="0"/>
        <v>450</v>
      </c>
    </row>
    <row r="27" spans="1:23" x14ac:dyDescent="0.25">
      <c r="A27" s="8">
        <v>1026</v>
      </c>
      <c r="B27" s="9" t="s">
        <v>63</v>
      </c>
      <c r="C27" s="9" t="s">
        <v>20</v>
      </c>
      <c r="D27" s="9" t="s">
        <v>24</v>
      </c>
      <c r="E27" s="8">
        <v>16</v>
      </c>
      <c r="F27" s="8">
        <v>25</v>
      </c>
      <c r="G27" s="10">
        <v>45506</v>
      </c>
      <c r="J27" s="9" t="s">
        <v>18</v>
      </c>
      <c r="K27" s="8">
        <v>9</v>
      </c>
      <c r="L27" s="8">
        <v>50</v>
      </c>
      <c r="M27" s="5">
        <f t="shared" si="1"/>
        <v>450</v>
      </c>
      <c r="P27" s="9" t="s">
        <v>20</v>
      </c>
      <c r="Q27" s="9" t="s">
        <v>28</v>
      </c>
      <c r="R27" s="8">
        <v>35</v>
      </c>
      <c r="S27" s="8">
        <v>5</v>
      </c>
      <c r="T27" s="5">
        <f t="shared" si="0"/>
        <v>175</v>
      </c>
    </row>
    <row r="28" spans="1:23" x14ac:dyDescent="0.25">
      <c r="A28" s="8">
        <v>1027</v>
      </c>
      <c r="B28" s="9" t="s">
        <v>64</v>
      </c>
      <c r="C28" s="9" t="s">
        <v>23</v>
      </c>
      <c r="D28" s="9" t="s">
        <v>28</v>
      </c>
      <c r="E28" s="8">
        <v>22</v>
      </c>
      <c r="F28" s="8">
        <v>5</v>
      </c>
      <c r="G28" s="10">
        <v>45537</v>
      </c>
      <c r="J28" s="9" t="s">
        <v>28</v>
      </c>
      <c r="K28" s="8">
        <v>35</v>
      </c>
      <c r="L28" s="8">
        <v>5</v>
      </c>
      <c r="M28" s="5">
        <f t="shared" si="1"/>
        <v>175</v>
      </c>
      <c r="P28" s="9" t="s">
        <v>23</v>
      </c>
      <c r="Q28" s="9" t="s">
        <v>31</v>
      </c>
      <c r="R28" s="8">
        <v>30</v>
      </c>
      <c r="S28" s="8">
        <v>8</v>
      </c>
      <c r="T28" s="5">
        <f t="shared" si="0"/>
        <v>240</v>
      </c>
    </row>
    <row r="29" spans="1:23" x14ac:dyDescent="0.25">
      <c r="A29" s="8">
        <v>1028</v>
      </c>
      <c r="B29" s="9" t="s">
        <v>65</v>
      </c>
      <c r="C29" s="9" t="s">
        <v>26</v>
      </c>
      <c r="D29" s="9" t="s">
        <v>31</v>
      </c>
      <c r="E29" s="8">
        <v>27</v>
      </c>
      <c r="F29" s="8">
        <v>8</v>
      </c>
      <c r="G29" s="10">
        <v>45567</v>
      </c>
      <c r="J29" s="9" t="s">
        <v>31</v>
      </c>
      <c r="K29" s="8">
        <v>30</v>
      </c>
      <c r="L29" s="8">
        <v>8</v>
      </c>
      <c r="M29" s="5">
        <f t="shared" si="1"/>
        <v>240</v>
      </c>
      <c r="P29" s="9" t="s">
        <v>26</v>
      </c>
      <c r="Q29" s="9" t="s">
        <v>18</v>
      </c>
      <c r="R29" s="8">
        <v>11</v>
      </c>
      <c r="S29" s="8">
        <v>50</v>
      </c>
      <c r="T29" s="5">
        <f t="shared" si="0"/>
        <v>550</v>
      </c>
    </row>
    <row r="30" spans="1:23" x14ac:dyDescent="0.25">
      <c r="A30" s="8">
        <v>1029</v>
      </c>
      <c r="B30" s="9" t="s">
        <v>66</v>
      </c>
      <c r="C30" s="9" t="s">
        <v>17</v>
      </c>
      <c r="D30" s="9" t="s">
        <v>18</v>
      </c>
      <c r="E30" s="8">
        <v>13</v>
      </c>
      <c r="F30" s="8">
        <v>50</v>
      </c>
      <c r="G30" s="10">
        <v>45628</v>
      </c>
      <c r="J30" s="9" t="s">
        <v>18</v>
      </c>
      <c r="K30" s="8">
        <v>11</v>
      </c>
      <c r="L30" s="8">
        <v>50</v>
      </c>
      <c r="M30" s="5">
        <f t="shared" si="1"/>
        <v>550</v>
      </c>
      <c r="P30" s="9" t="s">
        <v>17</v>
      </c>
      <c r="Q30" s="9" t="s">
        <v>21</v>
      </c>
      <c r="R30" s="8">
        <v>14</v>
      </c>
      <c r="S30" s="8">
        <v>10</v>
      </c>
      <c r="T30" s="5">
        <f t="shared" si="0"/>
        <v>140</v>
      </c>
    </row>
    <row r="31" spans="1:23" x14ac:dyDescent="0.25">
      <c r="A31" s="8">
        <v>1030</v>
      </c>
      <c r="B31" s="9" t="s">
        <v>67</v>
      </c>
      <c r="C31" s="9" t="s">
        <v>20</v>
      </c>
      <c r="D31" s="9" t="s">
        <v>21</v>
      </c>
      <c r="E31" s="8">
        <v>32</v>
      </c>
      <c r="F31" s="8">
        <v>10</v>
      </c>
      <c r="G31" s="8" t="s">
        <v>68</v>
      </c>
      <c r="J31" s="9" t="s">
        <v>21</v>
      </c>
      <c r="K31" s="8">
        <v>14</v>
      </c>
      <c r="L31" s="8">
        <v>10</v>
      </c>
      <c r="M31" s="5">
        <f t="shared" si="1"/>
        <v>140</v>
      </c>
      <c r="P31" s="9" t="s">
        <v>20</v>
      </c>
      <c r="Q31" s="9" t="s">
        <v>24</v>
      </c>
      <c r="R31" s="8">
        <v>16</v>
      </c>
      <c r="S31" s="8">
        <v>25</v>
      </c>
      <c r="T31" s="5">
        <f t="shared" si="0"/>
        <v>400</v>
      </c>
    </row>
    <row r="32" spans="1:23" x14ac:dyDescent="0.25">
      <c r="A32" s="8">
        <v>1031</v>
      </c>
      <c r="B32" s="9" t="s">
        <v>69</v>
      </c>
      <c r="C32" s="9" t="s">
        <v>23</v>
      </c>
      <c r="D32" s="9" t="s">
        <v>24</v>
      </c>
      <c r="E32" s="8">
        <v>10</v>
      </c>
      <c r="F32" s="8">
        <v>25</v>
      </c>
      <c r="G32" s="8" t="s">
        <v>70</v>
      </c>
      <c r="J32" s="9" t="s">
        <v>24</v>
      </c>
      <c r="K32" s="8">
        <v>16</v>
      </c>
      <c r="L32" s="8">
        <v>25</v>
      </c>
      <c r="M32" s="5">
        <f t="shared" si="1"/>
        <v>400</v>
      </c>
      <c r="P32" s="9" t="s">
        <v>23</v>
      </c>
      <c r="Q32" s="9" t="s">
        <v>28</v>
      </c>
      <c r="R32" s="8">
        <v>22</v>
      </c>
      <c r="S32" s="8">
        <v>5</v>
      </c>
      <c r="T32" s="5">
        <f t="shared" si="0"/>
        <v>110</v>
      </c>
    </row>
    <row r="33" spans="1:20" x14ac:dyDescent="0.25">
      <c r="A33" s="8">
        <v>1032</v>
      </c>
      <c r="B33" s="9" t="s">
        <v>71</v>
      </c>
      <c r="C33" s="9" t="s">
        <v>26</v>
      </c>
      <c r="D33" s="9" t="s">
        <v>28</v>
      </c>
      <c r="E33" s="8">
        <v>18</v>
      </c>
      <c r="F33" s="8">
        <v>5</v>
      </c>
      <c r="G33" s="8" t="s">
        <v>72</v>
      </c>
      <c r="J33" s="9" t="s">
        <v>28</v>
      </c>
      <c r="K33" s="8">
        <v>22</v>
      </c>
      <c r="L33" s="8">
        <v>5</v>
      </c>
      <c r="M33" s="5">
        <f t="shared" si="1"/>
        <v>110</v>
      </c>
      <c r="P33" s="9" t="s">
        <v>26</v>
      </c>
      <c r="Q33" s="9" t="s">
        <v>31</v>
      </c>
      <c r="R33" s="8">
        <v>27</v>
      </c>
      <c r="S33" s="8">
        <v>8</v>
      </c>
      <c r="T33" s="5">
        <f t="shared" si="0"/>
        <v>216</v>
      </c>
    </row>
    <row r="34" spans="1:20" x14ac:dyDescent="0.25">
      <c r="A34" s="8">
        <v>1033</v>
      </c>
      <c r="B34" s="9" t="s">
        <v>73</v>
      </c>
      <c r="C34" s="9" t="s">
        <v>17</v>
      </c>
      <c r="D34" s="9" t="s">
        <v>31</v>
      </c>
      <c r="E34" s="8">
        <v>22</v>
      </c>
      <c r="F34" s="8">
        <v>8</v>
      </c>
      <c r="G34" s="8" t="s">
        <v>74</v>
      </c>
      <c r="J34" s="9" t="s">
        <v>31</v>
      </c>
      <c r="K34" s="8">
        <v>27</v>
      </c>
      <c r="L34" s="8">
        <v>8</v>
      </c>
      <c r="M34" s="5">
        <f t="shared" si="1"/>
        <v>216</v>
      </c>
      <c r="P34" s="9" t="s">
        <v>17</v>
      </c>
      <c r="Q34" s="9" t="s">
        <v>18</v>
      </c>
      <c r="R34" s="8">
        <v>13</v>
      </c>
      <c r="S34" s="8">
        <v>50</v>
      </c>
      <c r="T34" s="5">
        <f t="shared" si="0"/>
        <v>650</v>
      </c>
    </row>
    <row r="35" spans="1:20" x14ac:dyDescent="0.25">
      <c r="A35" s="8">
        <v>1034</v>
      </c>
      <c r="B35" s="9" t="s">
        <v>75</v>
      </c>
      <c r="C35" s="9" t="s">
        <v>20</v>
      </c>
      <c r="D35" s="9" t="s">
        <v>18</v>
      </c>
      <c r="E35" s="8">
        <v>17</v>
      </c>
      <c r="F35" s="8">
        <v>50</v>
      </c>
      <c r="G35" s="8" t="s">
        <v>76</v>
      </c>
      <c r="J35" s="9" t="s">
        <v>18</v>
      </c>
      <c r="K35" s="8">
        <v>13</v>
      </c>
      <c r="L35" s="8">
        <v>50</v>
      </c>
      <c r="M35" s="5">
        <f t="shared" si="1"/>
        <v>650</v>
      </c>
      <c r="P35" s="9" t="s">
        <v>20</v>
      </c>
      <c r="Q35" s="9" t="s">
        <v>21</v>
      </c>
      <c r="R35" s="8">
        <v>32</v>
      </c>
      <c r="S35" s="8">
        <v>10</v>
      </c>
      <c r="T35" s="5">
        <f t="shared" si="0"/>
        <v>320</v>
      </c>
    </row>
    <row r="36" spans="1:20" x14ac:dyDescent="0.25">
      <c r="A36" s="8">
        <v>1035</v>
      </c>
      <c r="B36" s="9" t="s">
        <v>77</v>
      </c>
      <c r="C36" s="9" t="s">
        <v>23</v>
      </c>
      <c r="D36" s="9" t="s">
        <v>21</v>
      </c>
      <c r="E36" s="8">
        <v>19</v>
      </c>
      <c r="F36" s="8">
        <v>10</v>
      </c>
      <c r="G36" s="8" t="s">
        <v>78</v>
      </c>
      <c r="J36" s="9" t="s">
        <v>21</v>
      </c>
      <c r="K36" s="8">
        <v>32</v>
      </c>
      <c r="L36" s="8">
        <v>10</v>
      </c>
      <c r="M36" s="5">
        <f t="shared" si="1"/>
        <v>320</v>
      </c>
      <c r="P36" s="9" t="s">
        <v>23</v>
      </c>
      <c r="Q36" s="9" t="s">
        <v>24</v>
      </c>
      <c r="R36" s="8">
        <v>10</v>
      </c>
      <c r="S36" s="8">
        <v>25</v>
      </c>
      <c r="T36" s="5">
        <f t="shared" si="0"/>
        <v>250</v>
      </c>
    </row>
    <row r="37" spans="1:20" x14ac:dyDescent="0.25">
      <c r="A37" s="8">
        <v>1036</v>
      </c>
      <c r="B37" s="9" t="s">
        <v>79</v>
      </c>
      <c r="C37" s="9" t="s">
        <v>26</v>
      </c>
      <c r="D37" s="9" t="s">
        <v>24</v>
      </c>
      <c r="E37" s="8">
        <v>15</v>
      </c>
      <c r="F37" s="8">
        <v>25</v>
      </c>
      <c r="G37" s="8" t="s">
        <v>80</v>
      </c>
      <c r="J37" s="9" t="s">
        <v>24</v>
      </c>
      <c r="K37" s="8">
        <v>10</v>
      </c>
      <c r="L37" s="8">
        <v>25</v>
      </c>
      <c r="M37" s="5">
        <f t="shared" si="1"/>
        <v>250</v>
      </c>
      <c r="P37" s="9" t="s">
        <v>26</v>
      </c>
      <c r="Q37" s="9" t="s">
        <v>28</v>
      </c>
      <c r="R37" s="8">
        <v>18</v>
      </c>
      <c r="S37" s="8">
        <v>5</v>
      </c>
      <c r="T37" s="5">
        <f t="shared" si="0"/>
        <v>90</v>
      </c>
    </row>
    <row r="38" spans="1:20" x14ac:dyDescent="0.25">
      <c r="A38" s="8">
        <v>1037</v>
      </c>
      <c r="B38" s="9" t="s">
        <v>81</v>
      </c>
      <c r="C38" s="9" t="s">
        <v>17</v>
      </c>
      <c r="D38" s="9" t="s">
        <v>28</v>
      </c>
      <c r="E38" s="8">
        <v>28</v>
      </c>
      <c r="F38" s="8">
        <v>5</v>
      </c>
      <c r="G38" s="8" t="s">
        <v>82</v>
      </c>
      <c r="J38" s="9" t="s">
        <v>28</v>
      </c>
      <c r="K38" s="8">
        <v>18</v>
      </c>
      <c r="L38" s="8">
        <v>5</v>
      </c>
      <c r="M38" s="5">
        <f t="shared" si="1"/>
        <v>90</v>
      </c>
      <c r="P38" s="9" t="s">
        <v>17</v>
      </c>
      <c r="Q38" s="9" t="s">
        <v>31</v>
      </c>
      <c r="R38" s="8">
        <v>22</v>
      </c>
      <c r="S38" s="8">
        <v>8</v>
      </c>
      <c r="T38" s="5">
        <f t="shared" si="0"/>
        <v>176</v>
      </c>
    </row>
    <row r="39" spans="1:20" x14ac:dyDescent="0.25">
      <c r="A39" s="8">
        <v>1038</v>
      </c>
      <c r="B39" s="9" t="s">
        <v>83</v>
      </c>
      <c r="C39" s="9" t="s">
        <v>20</v>
      </c>
      <c r="D39" s="9" t="s">
        <v>31</v>
      </c>
      <c r="E39" s="8">
        <v>24</v>
      </c>
      <c r="F39" s="8">
        <v>8</v>
      </c>
      <c r="G39" s="8" t="s">
        <v>84</v>
      </c>
      <c r="J39" s="9" t="s">
        <v>31</v>
      </c>
      <c r="K39" s="8">
        <v>22</v>
      </c>
      <c r="L39" s="8">
        <v>8</v>
      </c>
      <c r="M39" s="5">
        <f t="shared" si="1"/>
        <v>176</v>
      </c>
      <c r="P39" s="9" t="s">
        <v>20</v>
      </c>
      <c r="Q39" s="9" t="s">
        <v>18</v>
      </c>
      <c r="R39" s="8">
        <v>17</v>
      </c>
      <c r="S39" s="8">
        <v>50</v>
      </c>
      <c r="T39" s="5">
        <f t="shared" si="0"/>
        <v>850</v>
      </c>
    </row>
    <row r="40" spans="1:20" x14ac:dyDescent="0.25">
      <c r="A40" s="8">
        <v>1039</v>
      </c>
      <c r="B40" s="9" t="s">
        <v>85</v>
      </c>
      <c r="C40" s="9" t="s">
        <v>23</v>
      </c>
      <c r="D40" s="9" t="s">
        <v>18</v>
      </c>
      <c r="E40" s="8">
        <v>16</v>
      </c>
      <c r="F40" s="8">
        <v>50</v>
      </c>
      <c r="G40" s="8" t="s">
        <v>86</v>
      </c>
      <c r="J40" s="9" t="s">
        <v>18</v>
      </c>
      <c r="K40" s="8">
        <v>17</v>
      </c>
      <c r="L40" s="8">
        <v>50</v>
      </c>
      <c r="M40" s="5">
        <f t="shared" si="1"/>
        <v>850</v>
      </c>
      <c r="P40" s="9" t="s">
        <v>23</v>
      </c>
      <c r="Q40" s="9" t="s">
        <v>21</v>
      </c>
      <c r="R40" s="8">
        <v>19</v>
      </c>
      <c r="S40" s="8">
        <v>10</v>
      </c>
      <c r="T40" s="5">
        <f t="shared" si="0"/>
        <v>190</v>
      </c>
    </row>
    <row r="41" spans="1:20" x14ac:dyDescent="0.25">
      <c r="A41" s="8">
        <v>1040</v>
      </c>
      <c r="B41" s="9" t="s">
        <v>87</v>
      </c>
      <c r="C41" s="9" t="s">
        <v>26</v>
      </c>
      <c r="D41" s="9" t="s">
        <v>21</v>
      </c>
      <c r="E41" s="8">
        <v>27</v>
      </c>
      <c r="F41" s="8">
        <v>10</v>
      </c>
      <c r="G41" s="8" t="s">
        <v>88</v>
      </c>
      <c r="J41" s="9" t="s">
        <v>21</v>
      </c>
      <c r="K41" s="8">
        <v>19</v>
      </c>
      <c r="L41" s="8">
        <v>10</v>
      </c>
      <c r="M41" s="5">
        <f t="shared" si="1"/>
        <v>190</v>
      </c>
      <c r="P41" s="9" t="s">
        <v>26</v>
      </c>
      <c r="Q41" s="9" t="s">
        <v>24</v>
      </c>
      <c r="R41" s="8">
        <v>15</v>
      </c>
      <c r="S41" s="8">
        <v>25</v>
      </c>
      <c r="T41" s="5">
        <f t="shared" si="0"/>
        <v>375</v>
      </c>
    </row>
    <row r="42" spans="1:20" x14ac:dyDescent="0.25">
      <c r="A42" s="8">
        <v>1041</v>
      </c>
      <c r="B42" s="9" t="s">
        <v>89</v>
      </c>
      <c r="C42" s="9" t="s">
        <v>17</v>
      </c>
      <c r="D42" s="9" t="s">
        <v>24</v>
      </c>
      <c r="E42" s="8">
        <v>21</v>
      </c>
      <c r="F42" s="8">
        <v>25</v>
      </c>
      <c r="G42" s="8" t="s">
        <v>90</v>
      </c>
      <c r="J42" s="9" t="s">
        <v>24</v>
      </c>
      <c r="K42" s="8">
        <v>15</v>
      </c>
      <c r="L42" s="8">
        <v>25</v>
      </c>
      <c r="M42" s="5">
        <f t="shared" si="1"/>
        <v>375</v>
      </c>
      <c r="P42" s="9" t="s">
        <v>17</v>
      </c>
      <c r="Q42" s="9" t="s">
        <v>28</v>
      </c>
      <c r="R42" s="8">
        <v>28</v>
      </c>
      <c r="S42" s="8">
        <v>5</v>
      </c>
      <c r="T42" s="5">
        <f t="shared" si="0"/>
        <v>140</v>
      </c>
    </row>
    <row r="43" spans="1:20" x14ac:dyDescent="0.25">
      <c r="A43" s="8">
        <v>1042</v>
      </c>
      <c r="B43" s="9" t="s">
        <v>91</v>
      </c>
      <c r="C43" s="9" t="s">
        <v>20</v>
      </c>
      <c r="D43" s="9" t="s">
        <v>28</v>
      </c>
      <c r="E43" s="8">
        <v>30</v>
      </c>
      <c r="F43" s="8">
        <v>5</v>
      </c>
      <c r="G43" s="8" t="s">
        <v>92</v>
      </c>
      <c r="J43" s="9" t="s">
        <v>28</v>
      </c>
      <c r="K43" s="8">
        <v>28</v>
      </c>
      <c r="L43" s="8">
        <v>5</v>
      </c>
      <c r="M43" s="5">
        <f t="shared" si="1"/>
        <v>140</v>
      </c>
      <c r="P43" s="9" t="s">
        <v>20</v>
      </c>
      <c r="Q43" s="9" t="s">
        <v>31</v>
      </c>
      <c r="R43" s="8">
        <v>24</v>
      </c>
      <c r="S43" s="8">
        <v>8</v>
      </c>
      <c r="T43" s="5">
        <f t="shared" si="0"/>
        <v>192</v>
      </c>
    </row>
    <row r="44" spans="1:20" x14ac:dyDescent="0.25">
      <c r="A44" s="8">
        <v>1043</v>
      </c>
      <c r="B44" s="9" t="s">
        <v>93</v>
      </c>
      <c r="C44" s="9" t="s">
        <v>23</v>
      </c>
      <c r="D44" s="9" t="s">
        <v>31</v>
      </c>
      <c r="E44" s="8">
        <v>26</v>
      </c>
      <c r="F44" s="8">
        <v>8</v>
      </c>
      <c r="G44" s="10">
        <v>45294</v>
      </c>
      <c r="J44" s="9" t="s">
        <v>31</v>
      </c>
      <c r="K44" s="8">
        <v>24</v>
      </c>
      <c r="L44" s="8">
        <v>8</v>
      </c>
      <c r="M44" s="5">
        <f t="shared" si="1"/>
        <v>192</v>
      </c>
      <c r="P44" s="9" t="s">
        <v>23</v>
      </c>
      <c r="Q44" s="9" t="s">
        <v>18</v>
      </c>
      <c r="R44" s="8">
        <v>16</v>
      </c>
      <c r="S44" s="8">
        <v>50</v>
      </c>
      <c r="T44" s="5">
        <f t="shared" si="0"/>
        <v>800</v>
      </c>
    </row>
    <row r="45" spans="1:20" x14ac:dyDescent="0.25">
      <c r="A45" s="8">
        <v>1044</v>
      </c>
      <c r="B45" s="9" t="s">
        <v>94</v>
      </c>
      <c r="C45" s="9" t="s">
        <v>26</v>
      </c>
      <c r="D45" s="9" t="s">
        <v>18</v>
      </c>
      <c r="E45" s="8">
        <v>14</v>
      </c>
      <c r="F45" s="8">
        <v>50</v>
      </c>
      <c r="G45" s="10">
        <v>45325</v>
      </c>
      <c r="J45" s="9" t="s">
        <v>18</v>
      </c>
      <c r="K45" s="8">
        <v>16</v>
      </c>
      <c r="L45" s="8">
        <v>50</v>
      </c>
      <c r="M45" s="5">
        <f t="shared" si="1"/>
        <v>800</v>
      </c>
      <c r="P45" s="9" t="s">
        <v>26</v>
      </c>
      <c r="Q45" s="9" t="s">
        <v>21</v>
      </c>
      <c r="R45" s="8">
        <v>27</v>
      </c>
      <c r="S45" s="8">
        <v>10</v>
      </c>
      <c r="T45" s="5">
        <f t="shared" si="0"/>
        <v>270</v>
      </c>
    </row>
    <row r="46" spans="1:20" x14ac:dyDescent="0.25">
      <c r="A46" s="8">
        <v>1045</v>
      </c>
      <c r="B46" s="9" t="s">
        <v>95</v>
      </c>
      <c r="C46" s="9" t="s">
        <v>17</v>
      </c>
      <c r="D46" s="9" t="s">
        <v>21</v>
      </c>
      <c r="E46" s="8">
        <v>20</v>
      </c>
      <c r="F46" s="8">
        <v>10</v>
      </c>
      <c r="G46" s="10">
        <v>45354</v>
      </c>
      <c r="J46" s="9" t="s">
        <v>21</v>
      </c>
      <c r="K46" s="8">
        <v>27</v>
      </c>
      <c r="L46" s="8">
        <v>10</v>
      </c>
      <c r="M46" s="5">
        <f t="shared" si="1"/>
        <v>270</v>
      </c>
      <c r="P46" s="9" t="s">
        <v>17</v>
      </c>
      <c r="Q46" s="9" t="s">
        <v>24</v>
      </c>
      <c r="R46" s="8">
        <v>21</v>
      </c>
      <c r="S46" s="8">
        <v>25</v>
      </c>
      <c r="T46" s="5">
        <f t="shared" si="0"/>
        <v>525</v>
      </c>
    </row>
    <row r="47" spans="1:20" x14ac:dyDescent="0.25">
      <c r="A47" s="8">
        <v>1046</v>
      </c>
      <c r="B47" s="9" t="s">
        <v>96</v>
      </c>
      <c r="C47" s="9" t="s">
        <v>20</v>
      </c>
      <c r="D47" s="9" t="s">
        <v>24</v>
      </c>
      <c r="E47" s="8">
        <v>17</v>
      </c>
      <c r="F47" s="8">
        <v>25</v>
      </c>
      <c r="G47" s="10">
        <v>45385</v>
      </c>
      <c r="J47" s="9" t="s">
        <v>24</v>
      </c>
      <c r="K47" s="8">
        <v>21</v>
      </c>
      <c r="L47" s="8">
        <v>25</v>
      </c>
      <c r="M47" s="5">
        <f t="shared" si="1"/>
        <v>525</v>
      </c>
      <c r="P47" s="9" t="s">
        <v>20</v>
      </c>
      <c r="Q47" s="9" t="s">
        <v>28</v>
      </c>
      <c r="R47" s="8">
        <v>30</v>
      </c>
      <c r="S47" s="8">
        <v>5</v>
      </c>
      <c r="T47" s="5">
        <f t="shared" si="0"/>
        <v>150</v>
      </c>
    </row>
    <row r="48" spans="1:20" x14ac:dyDescent="0.25">
      <c r="A48" s="8">
        <v>1047</v>
      </c>
      <c r="B48" s="9" t="s">
        <v>97</v>
      </c>
      <c r="C48" s="9" t="s">
        <v>23</v>
      </c>
      <c r="D48" s="9" t="s">
        <v>28</v>
      </c>
      <c r="E48" s="8">
        <v>19</v>
      </c>
      <c r="F48" s="8">
        <v>5</v>
      </c>
      <c r="G48" s="10">
        <v>45415</v>
      </c>
      <c r="J48" s="9" t="s">
        <v>28</v>
      </c>
      <c r="K48" s="8">
        <v>30</v>
      </c>
      <c r="L48" s="8">
        <v>5</v>
      </c>
      <c r="M48" s="5">
        <f t="shared" si="1"/>
        <v>150</v>
      </c>
      <c r="P48" s="9" t="s">
        <v>23</v>
      </c>
      <c r="Q48" s="9" t="s">
        <v>31</v>
      </c>
      <c r="R48" s="8">
        <v>26</v>
      </c>
      <c r="S48" s="8">
        <v>8</v>
      </c>
      <c r="T48" s="5">
        <f t="shared" si="0"/>
        <v>208</v>
      </c>
    </row>
    <row r="49" spans="1:20" x14ac:dyDescent="0.25">
      <c r="A49" s="8">
        <v>1048</v>
      </c>
      <c r="B49" s="9" t="s">
        <v>98</v>
      </c>
      <c r="C49" s="9" t="s">
        <v>26</v>
      </c>
      <c r="D49" s="9" t="s">
        <v>31</v>
      </c>
      <c r="E49" s="8">
        <v>32</v>
      </c>
      <c r="F49" s="8">
        <v>8</v>
      </c>
      <c r="G49" s="10">
        <v>45446</v>
      </c>
      <c r="J49" s="9" t="s">
        <v>31</v>
      </c>
      <c r="K49" s="8">
        <v>26</v>
      </c>
      <c r="L49" s="8">
        <v>8</v>
      </c>
      <c r="M49" s="5">
        <f t="shared" si="1"/>
        <v>208</v>
      </c>
      <c r="P49" s="9" t="s">
        <v>26</v>
      </c>
      <c r="Q49" s="9" t="s">
        <v>18</v>
      </c>
      <c r="R49" s="8">
        <v>14</v>
      </c>
      <c r="S49" s="8">
        <v>50</v>
      </c>
      <c r="T49" s="5">
        <f t="shared" si="0"/>
        <v>700</v>
      </c>
    </row>
    <row r="50" spans="1:20" x14ac:dyDescent="0.25">
      <c r="A50" s="8">
        <v>1049</v>
      </c>
      <c r="B50" s="9" t="s">
        <v>99</v>
      </c>
      <c r="C50" s="9" t="s">
        <v>17</v>
      </c>
      <c r="D50" s="9" t="s">
        <v>18</v>
      </c>
      <c r="E50" s="8">
        <v>12</v>
      </c>
      <c r="F50" s="8">
        <v>50</v>
      </c>
      <c r="G50" s="10">
        <v>45476</v>
      </c>
      <c r="J50" s="9" t="s">
        <v>18</v>
      </c>
      <c r="K50" s="8">
        <v>14</v>
      </c>
      <c r="L50" s="8">
        <v>50</v>
      </c>
      <c r="M50" s="5">
        <f t="shared" si="1"/>
        <v>700</v>
      </c>
      <c r="P50" s="9" t="s">
        <v>17</v>
      </c>
      <c r="Q50" s="9" t="s">
        <v>21</v>
      </c>
      <c r="R50" s="8">
        <v>20</v>
      </c>
      <c r="S50" s="8">
        <v>10</v>
      </c>
      <c r="T50" s="5">
        <f t="shared" si="0"/>
        <v>200</v>
      </c>
    </row>
    <row r="51" spans="1:20" x14ac:dyDescent="0.25">
      <c r="A51" s="8">
        <v>1050</v>
      </c>
      <c r="B51" s="9" t="s">
        <v>100</v>
      </c>
      <c r="C51" s="9" t="s">
        <v>20</v>
      </c>
      <c r="D51" s="9" t="s">
        <v>21</v>
      </c>
      <c r="E51" s="8">
        <v>25</v>
      </c>
      <c r="F51" s="8">
        <v>10</v>
      </c>
      <c r="G51" s="10">
        <v>45507</v>
      </c>
      <c r="J51" s="9" t="s">
        <v>21</v>
      </c>
      <c r="K51" s="8">
        <v>20</v>
      </c>
      <c r="L51" s="8">
        <v>10</v>
      </c>
      <c r="M51" s="5">
        <f t="shared" si="1"/>
        <v>200</v>
      </c>
      <c r="P51" s="9" t="s">
        <v>20</v>
      </c>
      <c r="Q51" s="9" t="s">
        <v>24</v>
      </c>
      <c r="R51" s="8">
        <v>17</v>
      </c>
      <c r="S51" s="8">
        <v>25</v>
      </c>
      <c r="T51" s="5">
        <f t="shared" si="0"/>
        <v>425</v>
      </c>
    </row>
    <row r="52" spans="1:20" x14ac:dyDescent="0.25">
      <c r="J52" s="9" t="s">
        <v>24</v>
      </c>
      <c r="K52" s="8">
        <v>17</v>
      </c>
      <c r="L52" s="8">
        <v>25</v>
      </c>
      <c r="M52" s="5">
        <f t="shared" si="1"/>
        <v>425</v>
      </c>
      <c r="P52" s="9" t="s">
        <v>23</v>
      </c>
      <c r="Q52" s="9" t="s">
        <v>28</v>
      </c>
      <c r="R52" s="8">
        <v>19</v>
      </c>
      <c r="S52" s="8">
        <v>5</v>
      </c>
      <c r="T52" s="5">
        <f t="shared" si="0"/>
        <v>95</v>
      </c>
    </row>
    <row r="53" spans="1:20" x14ac:dyDescent="0.25">
      <c r="J53" s="9" t="s">
        <v>28</v>
      </c>
      <c r="K53" s="8">
        <v>19</v>
      </c>
      <c r="L53" s="8">
        <v>5</v>
      </c>
      <c r="M53" s="5">
        <f t="shared" si="1"/>
        <v>95</v>
      </c>
      <c r="P53" s="9" t="s">
        <v>26</v>
      </c>
      <c r="Q53" s="9" t="s">
        <v>31</v>
      </c>
      <c r="R53" s="8">
        <v>32</v>
      </c>
      <c r="S53" s="8">
        <v>8</v>
      </c>
      <c r="T53" s="5">
        <f t="shared" si="0"/>
        <v>256</v>
      </c>
    </row>
    <row r="54" spans="1:20" x14ac:dyDescent="0.25">
      <c r="J54" s="9" t="s">
        <v>31</v>
      </c>
      <c r="K54" s="8">
        <v>32</v>
      </c>
      <c r="L54" s="8">
        <v>8</v>
      </c>
      <c r="M54" s="5">
        <f t="shared" si="1"/>
        <v>256</v>
      </c>
      <c r="P54" s="9" t="s">
        <v>17</v>
      </c>
      <c r="Q54" s="9" t="s">
        <v>18</v>
      </c>
      <c r="R54" s="8">
        <v>12</v>
      </c>
      <c r="S54" s="8">
        <v>50</v>
      </c>
      <c r="T54" s="5">
        <f t="shared" si="0"/>
        <v>600</v>
      </c>
    </row>
    <row r="55" spans="1:20" x14ac:dyDescent="0.25">
      <c r="J55" s="9" t="s">
        <v>18</v>
      </c>
      <c r="K55" s="8">
        <v>12</v>
      </c>
      <c r="L55" s="8">
        <v>50</v>
      </c>
      <c r="M55" s="5">
        <f t="shared" si="1"/>
        <v>600</v>
      </c>
      <c r="P55" s="9" t="s">
        <v>20</v>
      </c>
      <c r="Q55" s="9" t="s">
        <v>21</v>
      </c>
      <c r="R55" s="8">
        <v>25</v>
      </c>
      <c r="S55" s="8">
        <v>10</v>
      </c>
      <c r="T55" s="5">
        <f t="shared" si="0"/>
        <v>250</v>
      </c>
    </row>
    <row r="56" spans="1:20" x14ac:dyDescent="0.25">
      <c r="J56" s="9" t="s">
        <v>21</v>
      </c>
      <c r="K56" s="8">
        <v>25</v>
      </c>
      <c r="L56" s="8">
        <v>10</v>
      </c>
      <c r="M56" s="5">
        <f t="shared" si="1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 1 to 3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2025-12-04T12:29:08Z</dcterms:created>
  <dcterms:modified xsi:type="dcterms:W3CDTF">2025-12-05T14:20:29Z</dcterms:modified>
</cp:coreProperties>
</file>